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gebre-ebr\Desktop\PAUL - 2026\2026\2DO ENTREGABLE\FICHAS PARA SISTEMATIZAR\"/>
    </mc:Choice>
  </mc:AlternateContent>
  <bookViews>
    <workbookView xWindow="0" yWindow="0" windowWidth="23070" windowHeight="7455"/>
  </bookViews>
  <sheets>
    <sheet name="MODELO JEC" sheetId="1" r:id="rId1"/>
    <sheet name="COMPROMISOS DE DESEMPEÑO" sheetId="2" r:id="rId2"/>
    <sheet name="Hoja1" sheetId="3" state="hidden"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6" i="1" l="1"/>
  <c r="BS20" i="1" l="1"/>
  <c r="BB18" i="1" l="1"/>
  <c r="BB12" i="1"/>
  <c r="BS5" i="1" l="1"/>
  <c r="BS6" i="1"/>
  <c r="BS7" i="1"/>
  <c r="BS8" i="1"/>
  <c r="BS9" i="1"/>
  <c r="BS10" i="1"/>
  <c r="BS11" i="1"/>
  <c r="BS12" i="1"/>
  <c r="BS13" i="1"/>
  <c r="BS14" i="1"/>
  <c r="BS15" i="1"/>
  <c r="BS16" i="1"/>
  <c r="BS17" i="1"/>
  <c r="BS18" i="1"/>
  <c r="BS19" i="1"/>
  <c r="BS21" i="1"/>
  <c r="BS22" i="1"/>
  <c r="BS23" i="1"/>
  <c r="BS24" i="1"/>
  <c r="BS25" i="1"/>
  <c r="BS26" i="1"/>
  <c r="BS27" i="1"/>
  <c r="BS28" i="1"/>
  <c r="BS29" i="1"/>
  <c r="BS30" i="1"/>
  <c r="BS31" i="1"/>
  <c r="BS32"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B5" i="1"/>
  <c r="BB6" i="1"/>
  <c r="BB7" i="1"/>
  <c r="BB8" i="1"/>
  <c r="BB9" i="1"/>
  <c r="BB10" i="1"/>
  <c r="BB11" i="1"/>
  <c r="BB13" i="1"/>
  <c r="BB14" i="1"/>
  <c r="BB15" i="1"/>
  <c r="BB16" i="1"/>
  <c r="BB17" i="1"/>
  <c r="BB19" i="1"/>
  <c r="BB20" i="1"/>
  <c r="BB21" i="1"/>
  <c r="BB22" i="1"/>
  <c r="BB23" i="1"/>
  <c r="BB24" i="1"/>
  <c r="BB25" i="1"/>
  <c r="BB27" i="1"/>
  <c r="BB28" i="1"/>
  <c r="BB29" i="1"/>
  <c r="BB30" i="1"/>
  <c r="BB31" i="1"/>
  <c r="BB32"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4" i="1"/>
  <c r="BB4" i="1"/>
  <c r="BK4" i="1"/>
  <c r="BS4" i="1"/>
  <c r="BV7" i="1" l="1"/>
  <c r="BV5" i="1"/>
  <c r="BV4" i="1"/>
  <c r="BV9" i="1"/>
  <c r="BV32" i="1"/>
  <c r="BW32" i="1" s="1"/>
  <c r="BV8" i="1"/>
  <c r="BV29" i="1"/>
  <c r="BW29" i="1" s="1"/>
  <c r="BV31" i="1"/>
  <c r="BW31" i="1" s="1"/>
  <c r="BV28" i="1"/>
  <c r="BW28" i="1" s="1"/>
  <c r="BV30" i="1"/>
  <c r="BW30" i="1" s="1"/>
  <c r="BV6" i="1"/>
  <c r="BW6" i="1" s="1"/>
  <c r="BV27" i="1"/>
  <c r="BW27" i="1" s="1"/>
  <c r="BV26" i="1"/>
  <c r="BW26" i="1" s="1"/>
  <c r="BV25" i="1"/>
  <c r="BW25" i="1" s="1"/>
  <c r="BV24" i="1"/>
  <c r="BW24" i="1" s="1"/>
  <c r="BV23" i="1"/>
  <c r="BW23" i="1" s="1"/>
  <c r="BV22" i="1"/>
  <c r="BW22" i="1" s="1"/>
  <c r="BV21" i="1"/>
  <c r="BW21" i="1" s="1"/>
  <c r="BV20" i="1"/>
  <c r="BW20" i="1" s="1"/>
  <c r="BV19" i="1"/>
  <c r="BW19" i="1" s="1"/>
  <c r="BV18" i="1"/>
  <c r="BW18" i="1" s="1"/>
  <c r="BV17" i="1"/>
  <c r="BW17" i="1" s="1"/>
  <c r="BV16" i="1"/>
  <c r="BW16" i="1" s="1"/>
  <c r="BV15" i="1"/>
  <c r="BW15" i="1" s="1"/>
  <c r="BV14" i="1"/>
  <c r="BW14" i="1" s="1"/>
  <c r="BV13" i="1"/>
  <c r="BW13" i="1" s="1"/>
  <c r="BV12" i="1"/>
  <c r="BW12" i="1" s="1"/>
  <c r="BV11" i="1"/>
  <c r="BW11" i="1" s="1"/>
  <c r="BV10" i="1"/>
  <c r="BW10" i="1" s="1"/>
  <c r="BW8" i="1"/>
  <c r="BW9" i="1"/>
  <c r="AF33" i="1"/>
  <c r="AT33" i="1"/>
  <c r="AU33" i="1"/>
  <c r="AV33" i="1"/>
  <c r="AW33" i="1"/>
  <c r="AX33" i="1"/>
  <c r="AY33" i="1"/>
  <c r="AZ33" i="1"/>
  <c r="BA33" i="1"/>
  <c r="BC33" i="1"/>
  <c r="BD33" i="1"/>
  <c r="BE33" i="1"/>
  <c r="BF33" i="1"/>
  <c r="BG33" i="1"/>
  <c r="BH33" i="1"/>
  <c r="BI33" i="1"/>
  <c r="BJ33" i="1"/>
  <c r="BL33" i="1"/>
  <c r="BM33" i="1"/>
  <c r="BN33" i="1"/>
  <c r="BO33" i="1"/>
  <c r="BP33" i="1"/>
  <c r="BQ33" i="1"/>
  <c r="BR33" i="1"/>
  <c r="AT34" i="1"/>
  <c r="AU34" i="1"/>
  <c r="AV34" i="1"/>
  <c r="AW34" i="1"/>
  <c r="AX34" i="1"/>
  <c r="AY34" i="1"/>
  <c r="AZ34" i="1"/>
  <c r="BA34" i="1"/>
  <c r="BC34" i="1"/>
  <c r="BD34" i="1"/>
  <c r="BE34" i="1"/>
  <c r="BF34" i="1"/>
  <c r="BG34" i="1"/>
  <c r="BH34" i="1"/>
  <c r="BI34" i="1"/>
  <c r="BJ34" i="1"/>
  <c r="BL34" i="1"/>
  <c r="BM34" i="1"/>
  <c r="BN34" i="1"/>
  <c r="BO34" i="1"/>
  <c r="BP34" i="1"/>
  <c r="BQ34" i="1"/>
  <c r="BR34" i="1"/>
  <c r="AT35" i="1"/>
  <c r="AU35" i="1"/>
  <c r="AV35" i="1"/>
  <c r="AW35" i="1"/>
  <c r="AX35" i="1"/>
  <c r="AY35" i="1"/>
  <c r="AZ35" i="1"/>
  <c r="BA35" i="1"/>
  <c r="BC35" i="1"/>
  <c r="BD35" i="1"/>
  <c r="BE35" i="1"/>
  <c r="BF35" i="1"/>
  <c r="BG35" i="1"/>
  <c r="BH35" i="1"/>
  <c r="BI35" i="1"/>
  <c r="BJ35" i="1"/>
  <c r="BL35" i="1"/>
  <c r="BM35" i="1"/>
  <c r="BN35" i="1"/>
  <c r="BO35" i="1"/>
  <c r="BP35" i="1"/>
  <c r="BQ35" i="1"/>
  <c r="BR35" i="1"/>
  <c r="AL33" i="1"/>
  <c r="AL34" i="1" s="1"/>
  <c r="AL35" i="1" s="1"/>
  <c r="AK33" i="1"/>
  <c r="AC33" i="1"/>
  <c r="AB33" i="1"/>
  <c r="AA33" i="1"/>
  <c r="Z33" i="1"/>
  <c r="Y33" i="1"/>
  <c r="X33" i="1"/>
  <c r="W33" i="1"/>
  <c r="BW4" i="1"/>
  <c r="BW5" i="1"/>
  <c r="BW7" i="1"/>
  <c r="CC6" i="1" l="1"/>
  <c r="CD6" i="1" s="1"/>
  <c r="CC8" i="1"/>
  <c r="CD8" i="1" s="1"/>
  <c r="CC7" i="1"/>
  <c r="CD7" i="1" s="1"/>
  <c r="AY36" i="1"/>
  <c r="AY40" i="1" s="1"/>
  <c r="AX36" i="1"/>
  <c r="AX39" i="1" s="1"/>
  <c r="BP36" i="1"/>
  <c r="BP39" i="1" s="1"/>
  <c r="BR36" i="1"/>
  <c r="BR40" i="1" s="1"/>
  <c r="BI36" i="1"/>
  <c r="BI40" i="1" s="1"/>
  <c r="AZ36" i="1"/>
  <c r="AZ39" i="1" s="1"/>
  <c r="BQ36" i="1"/>
  <c r="BQ40" i="1" s="1"/>
  <c r="BH36" i="1"/>
  <c r="BH40" i="1" s="1"/>
  <c r="BG36" i="1"/>
  <c r="BG39" i="1" s="1"/>
  <c r="BO36" i="1"/>
  <c r="BO40" i="1" s="1"/>
  <c r="BF36" i="1"/>
  <c r="BF39" i="1" s="1"/>
  <c r="AW36" i="1"/>
  <c r="AW39" i="1" s="1"/>
  <c r="BN36" i="1"/>
  <c r="BN38" i="1" s="1"/>
  <c r="BE36" i="1"/>
  <c r="BE38" i="1" s="1"/>
  <c r="AV36" i="1"/>
  <c r="AV39" i="1" s="1"/>
  <c r="BA36" i="1"/>
  <c r="BA40" i="1" s="1"/>
  <c r="BM36" i="1"/>
  <c r="BM38" i="1" s="1"/>
  <c r="BD36" i="1"/>
  <c r="BD38" i="1" s="1"/>
  <c r="AU36" i="1"/>
  <c r="AU38" i="1" s="1"/>
  <c r="BJ36" i="1"/>
  <c r="BJ39" i="1" s="1"/>
  <c r="BL36" i="1"/>
  <c r="BL38" i="1" s="1"/>
  <c r="BC36" i="1"/>
  <c r="BC38" i="1" s="1"/>
  <c r="AT36" i="1"/>
  <c r="AT38" i="1" s="1"/>
  <c r="AL36" i="1"/>
  <c r="AL38" i="1" s="1"/>
  <c r="AK34" i="1"/>
  <c r="AF34" i="1"/>
  <c r="AG34" i="1"/>
  <c r="AH34" i="1"/>
  <c r="AI34" i="1"/>
  <c r="AJ34" i="1"/>
  <c r="AM34" i="1"/>
  <c r="AN34" i="1"/>
  <c r="AP34" i="1"/>
  <c r="AQ34" i="1"/>
  <c r="AR34" i="1"/>
  <c r="AS34" i="1"/>
  <c r="AF35" i="1"/>
  <c r="AG35" i="1"/>
  <c r="AH35" i="1"/>
  <c r="AI35" i="1"/>
  <c r="AJ35" i="1"/>
  <c r="AM35" i="1"/>
  <c r="AN35" i="1"/>
  <c r="AP35" i="1"/>
  <c r="AQ35" i="1"/>
  <c r="AR35" i="1"/>
  <c r="AS35" i="1"/>
  <c r="AE35" i="1"/>
  <c r="AE34" i="1"/>
  <c r="AE33" i="1"/>
  <c r="AP33" i="1"/>
  <c r="AQ33" i="1"/>
  <c r="AR33" i="1"/>
  <c r="AS33" i="1"/>
  <c r="AN33" i="1"/>
  <c r="AG33" i="1"/>
  <c r="AH33" i="1"/>
  <c r="AI33" i="1"/>
  <c r="AJ33" i="1"/>
  <c r="AM33" i="1"/>
  <c r="AC34" i="1"/>
  <c r="AB34" i="1"/>
  <c r="Z34" i="1"/>
  <c r="X34" i="1"/>
  <c r="Y34" i="1"/>
  <c r="AA34" i="1"/>
  <c r="W34" i="1"/>
  <c r="W35" i="1" s="1"/>
  <c r="BA39" i="1" l="1"/>
  <c r="BD39" i="1"/>
  <c r="BM39" i="1"/>
  <c r="BO38" i="1"/>
  <c r="AY39" i="1"/>
  <c r="BF40" i="1"/>
  <c r="BF38" i="1"/>
  <c r="AU39" i="1"/>
  <c r="BD40" i="1"/>
  <c r="BH39" i="1"/>
  <c r="BL40" i="1"/>
  <c r="AL40" i="1"/>
  <c r="BA38" i="1"/>
  <c r="BM40" i="1"/>
  <c r="BE39" i="1"/>
  <c r="AU40" i="1"/>
  <c r="AY38" i="1"/>
  <c r="BN39" i="1"/>
  <c r="BO39" i="1"/>
  <c r="BH38" i="1"/>
  <c r="BI39" i="1"/>
  <c r="BI38" i="1"/>
  <c r="BR39" i="1"/>
  <c r="AW38" i="1"/>
  <c r="BJ38" i="1"/>
  <c r="BQ39" i="1"/>
  <c r="AW40" i="1"/>
  <c r="BR38" i="1"/>
  <c r="BJ40" i="1"/>
  <c r="AV40" i="1"/>
  <c r="BP40" i="1"/>
  <c r="BP38" i="1"/>
  <c r="BE40" i="1"/>
  <c r="AV38" i="1"/>
  <c r="BC40" i="1"/>
  <c r="AX40" i="1"/>
  <c r="AX38" i="1"/>
  <c r="BN40" i="1"/>
  <c r="BG40" i="1"/>
  <c r="BG38" i="1"/>
  <c r="BC39" i="1"/>
  <c r="AZ40" i="1"/>
  <c r="AZ38" i="1"/>
  <c r="BQ38" i="1"/>
  <c r="AT39" i="1"/>
  <c r="AL39" i="1"/>
  <c r="AT40" i="1"/>
  <c r="BL39" i="1"/>
  <c r="AK35" i="1"/>
  <c r="AA35" i="1"/>
  <c r="AP36" i="1"/>
  <c r="AP38" i="1" s="1"/>
  <c r="Y35" i="1"/>
  <c r="X35" i="1"/>
  <c r="Z35" i="1"/>
  <c r="AJ36" i="1"/>
  <c r="AJ38" i="1" s="1"/>
  <c r="AH36" i="1"/>
  <c r="AH39" i="1" s="1"/>
  <c r="AG36" i="1"/>
  <c r="AG39" i="1" s="1"/>
  <c r="AF36" i="1"/>
  <c r="AF40" i="1" s="1"/>
  <c r="AC35" i="1"/>
  <c r="AN36" i="1"/>
  <c r="AN38" i="1" s="1"/>
  <c r="AE36" i="1"/>
  <c r="AE38" i="1" s="1"/>
  <c r="AB35" i="1"/>
  <c r="AS36" i="1"/>
  <c r="AS39" i="1" s="1"/>
  <c r="AR36" i="1"/>
  <c r="AR38" i="1" s="1"/>
  <c r="AQ36" i="1"/>
  <c r="AQ38" i="1" s="1"/>
  <c r="AI36" i="1"/>
  <c r="AI39" i="1" s="1"/>
  <c r="AM36" i="1"/>
  <c r="AM39" i="1" s="1"/>
  <c r="AP39" i="1" l="1"/>
  <c r="AJ40" i="1"/>
  <c r="AN39" i="1"/>
  <c r="AP40" i="1"/>
  <c r="AN40" i="1"/>
  <c r="AM38" i="1"/>
  <c r="AH40" i="1"/>
  <c r="AQ39" i="1"/>
  <c r="AR39" i="1"/>
  <c r="AI40" i="1"/>
  <c r="AM40" i="1"/>
  <c r="AH38" i="1"/>
  <c r="AJ39" i="1"/>
  <c r="AS40" i="1"/>
  <c r="AI38" i="1"/>
  <c r="AK36" i="1"/>
  <c r="AK40" i="1" s="1"/>
  <c r="AQ40" i="1"/>
  <c r="AR40" i="1"/>
  <c r="AS38" i="1"/>
  <c r="AF38" i="1"/>
  <c r="AF39" i="1"/>
  <c r="AG40" i="1"/>
  <c r="AG38" i="1"/>
  <c r="AE39" i="1"/>
  <c r="AE40" i="1"/>
  <c r="AK38" i="1" l="1"/>
  <c r="AK39" i="1"/>
  <c r="B4" i="2"/>
  <c r="B5" i="2" l="1"/>
  <c r="B6" i="2"/>
  <c r="B7" i="2"/>
  <c r="B8" i="2"/>
  <c r="B9" i="2"/>
  <c r="B10" i="2"/>
  <c r="B11" i="2"/>
  <c r="B12" i="2"/>
  <c r="B13" i="2"/>
  <c r="B14" i="2"/>
  <c r="B15" i="2"/>
  <c r="B16" i="2"/>
  <c r="B17" i="2"/>
  <c r="B18" i="2"/>
  <c r="B19" i="2"/>
  <c r="B20" i="2"/>
  <c r="B21" i="2"/>
  <c r="B22" i="2"/>
  <c r="B24" i="2"/>
  <c r="B25" i="2"/>
  <c r="B26" i="2"/>
  <c r="B27" i="2"/>
  <c r="B28" i="2"/>
  <c r="B29" i="2"/>
  <c r="B30" i="2"/>
  <c r="B31" i="2"/>
  <c r="B32" i="2"/>
</calcChain>
</file>

<file path=xl/sharedStrings.xml><?xml version="1.0" encoding="utf-8"?>
<sst xmlns="http://schemas.openxmlformats.org/spreadsheetml/2006/main" count="1286" uniqueCount="335">
  <si>
    <t>I. DATOS GENERALES DE LA IE</t>
  </si>
  <si>
    <t>II. DATOS DEL DIRECTOR(A)</t>
  </si>
  <si>
    <t xml:space="preserve"> 01 ASPECTO: CONDICIONES</t>
  </si>
  <si>
    <t xml:space="preserve">OBSERVACIONES / RECOMENDACIONES </t>
  </si>
  <si>
    <t>COMPROMISO</t>
  </si>
  <si>
    <t>Puntaje Total por IIEE</t>
  </si>
  <si>
    <t>Nviel por IIEE</t>
  </si>
  <si>
    <t>01</t>
  </si>
  <si>
    <t>02</t>
  </si>
  <si>
    <t>03</t>
  </si>
  <si>
    <t>04</t>
  </si>
  <si>
    <t>05</t>
  </si>
  <si>
    <t>06</t>
  </si>
  <si>
    <t>07</t>
  </si>
  <si>
    <t>08</t>
  </si>
  <si>
    <t>09</t>
  </si>
  <si>
    <t>10</t>
  </si>
  <si>
    <t>11</t>
  </si>
  <si>
    <t>N°</t>
  </si>
  <si>
    <t>Número y/o nombre de la Institución Educativa</t>
  </si>
  <si>
    <t>Código Modular</t>
  </si>
  <si>
    <t>RED</t>
  </si>
  <si>
    <t>Fecha</t>
  </si>
  <si>
    <t>SECCIONES</t>
  </si>
  <si>
    <t>Cantidad de estudiantes</t>
  </si>
  <si>
    <t>Cantidad de docentes</t>
  </si>
  <si>
    <t>Nombres y Apellidos</t>
  </si>
  <si>
    <t>DNI</t>
  </si>
  <si>
    <t>Teléfono</t>
  </si>
  <si>
    <t>Condición</t>
  </si>
  <si>
    <t>Correo</t>
  </si>
  <si>
    <t>A la fecha de visita, la IE cuenta con la totalidad de docentes.</t>
  </si>
  <si>
    <t>Se han desarrollado actividades orientadas a involucrar a las familias con la labor de la escuela, a nivel del aula e IE. (Escuela de padres, talleres para familias, asambleas de aula) y estas forman parte del Plan TOECE.</t>
  </si>
  <si>
    <t>Los docentes tutores implementan la tutoría individual y grupal, reportando periódicamente al coordinador de tutoría y/o director de la IE.</t>
  </si>
  <si>
    <t>La comunidad educativa se encuentra organizada para acompañar a los estudiantes durante el refrigerio escolar asignando responsabilidades a los diferentes actores, quienes las cumplen</t>
  </si>
  <si>
    <t>En la IE se han destinado espacios limpios y adecuados para que los estudiantes consuman los alimentos y otros.</t>
  </si>
  <si>
    <t>SI</t>
  </si>
  <si>
    <t>NO</t>
  </si>
  <si>
    <t xml:space="preserve">IIEE POR NIVELES </t>
  </si>
  <si>
    <t>cant</t>
  </si>
  <si>
    <t>%</t>
  </si>
  <si>
    <t>IEE EN NIVEL INICIO</t>
  </si>
  <si>
    <t>IEE EN NIVEL PROCESO</t>
  </si>
  <si>
    <t>IEE EN NIVEL LOGRADO</t>
  </si>
  <si>
    <t>NUESTRA SEÑORA DE GUADALUPE</t>
  </si>
  <si>
    <t>%TOTAL</t>
  </si>
  <si>
    <t>Inicio</t>
  </si>
  <si>
    <t>Proceso</t>
  </si>
  <si>
    <t>TOTAL</t>
  </si>
  <si>
    <t>Logrado</t>
  </si>
  <si>
    <t>Total</t>
  </si>
  <si>
    <t xml:space="preserve">Porcentaje </t>
  </si>
  <si>
    <t>PEAI</t>
  </si>
  <si>
    <t>SAEI</t>
  </si>
  <si>
    <t>SAANEE</t>
  </si>
  <si>
    <t>REFUERZO ESCOLAR</t>
  </si>
  <si>
    <t xml:space="preserve">N° </t>
  </si>
  <si>
    <t>La IE, cuenta Resolución Directoral de la BEA y GRD (Conformación o actualización).</t>
  </si>
  <si>
    <t>En la IE se ha elaborado el PEAI y la Ficha Resumen del PEAI (Descargar de la web de educación ambiental).</t>
  </si>
  <si>
    <t>En el PEAI ha considerado los siguientes componentes: Cambio climático, Ecoeficiencia, Salud, Gestión de Riesgo Biodiversidad.      Fotografía de la BEA y GRD</t>
  </si>
  <si>
    <t>La IE, cuenta con R.D. de conformación de SAEI y lo ha enviado con Expediente a UGEL 03</t>
  </si>
  <si>
    <t xml:space="preserve">La I.E ha realizado el registro de la PM 254  en el SIMON, previo visto de la Coordinadora del SAEI de la UGEL 03 </t>
  </si>
  <si>
    <t>En la IE se cuenta con el plan de trabajo del SAEI</t>
  </si>
  <si>
    <t>Se ha actualizado el PAT considerando las actividades del Comité de SAI (Sensibilización sobre educación inclusiva y atención a los estudiantes que presentan barreras)</t>
  </si>
  <si>
    <t>Implementa acciones para generar prácticas inclusivas a partir de las barreras educativas que experimentan los estudiantes y proveer los apoyos educativos correspondientes para su eliminación</t>
  </si>
  <si>
    <t>Cuenta con estudiantes  que presentan barreras matriculados. Cantidad: ………</t>
  </si>
  <si>
    <t>La I.E cuenta con Informe psicopedagógico (IPP).</t>
  </si>
  <si>
    <t>En la IE se cuenta con el plan educativo personalizado (PEP).</t>
  </si>
  <si>
    <t xml:space="preserve">La IE ha implementado acciones en el PAT sobre R.E. para cada etapa de acuerdo al cronograma establecido:
- Reconocimiento de necesidades de aprendizaje. 
-Acompañamiento y desarrollo de R.E
-Cierre de la estrategia de R.E.
</t>
  </si>
  <si>
    <t>Ha realizado la réplica a los docentes de la AT de refuerzo escolar realizada por la UGEL 03 y/o MINEDU</t>
  </si>
  <si>
    <t>La IE, planifico y aplico la evaluación diagnostica.</t>
  </si>
  <si>
    <t>La IE ha establecido el horario de los docentes  para implementar las acciones del RE de acuerdo lo establecido en el numeral 6.5 de la R.V.M 045-2022-MINEDU</t>
  </si>
  <si>
    <t>Ha implementado acciones para la socialización, ejecución y toma de decisiones a partir de los resultados de la evaluación diagnóstica con los docentes para propuesta de mejora</t>
  </si>
  <si>
    <t>Ha planificado reuniones de socialización de los resultados de la evaluación diagnostica con los  PPFF, a fin de generar compromisos en los aprendizaje en un Acta siguiendo el formato de PERUEDUCA</t>
  </si>
  <si>
    <t>Ha elaborado el informe de la sistematización de los resultados de la evaluación diagnóstica  siguiendo el formato de PERUEDUCA y remitido a la UGEL 03</t>
  </si>
  <si>
    <t>Ha realizado el registro en el SIMON (PM 252-Inst 474) según el cronograma establecido.</t>
  </si>
  <si>
    <t>En la IE se viene implementando las sesiones de Refuerzo Escolar en las áreas de matemática, comunicación, así como en otras áreas.</t>
  </si>
  <si>
    <t>Se ha previsto el monitoreo de la hora de refuerzo escolar ,con algún instrumento</t>
  </si>
  <si>
    <t>Se ha fortalecido en planificación diferenciada para la atención de los estudiantes en RE</t>
  </si>
  <si>
    <t xml:space="preserve">SI  </t>
  </si>
  <si>
    <t>N0</t>
  </si>
  <si>
    <t xml:space="preserve">SI </t>
  </si>
  <si>
    <t>S</t>
  </si>
  <si>
    <t>UGEL</t>
  </si>
  <si>
    <t>IE implementa el modelo de Servicio Educativo Secundaria con Formación Técnica.</t>
  </si>
  <si>
    <t>II. DATOS DEL SUB DIRECTOR(A)</t>
  </si>
  <si>
    <t>La IE desarrolla diariamente una jornada presencial de 9 horas pedagógicas y duración de la hora pedagógica de 45 minutos.</t>
  </si>
  <si>
    <t>A la fecha de visita, la IE cuenta con la totalidad de personal CAS, que le corresponden según la normatividad vigente( Vigilante, personal de mantenimiento, CIST y Psicólogo)</t>
  </si>
  <si>
    <t>Se implementaron las condiciones de los talleres para las especialidades que oferta y utilizan módulos del MINEDU si se respondió SI al inicio al SMFT.</t>
  </si>
  <si>
    <t>Los horarios de los docentes se encuentran organizados para el desarrollo del trabajo colegiado y las reuniones se desarrollan de acuerdo a lo planificado</t>
  </si>
  <si>
    <t>La IE cuenta con un Plan de Tutoría, Orientación Educativa y Convivencia Escolar (TOECE) actualizado. Formulado a partir de la identificación de necesidades de los estudiantes y realizan reportes periódicos de las actividades planificadas en el Plan TOECE</t>
  </si>
  <si>
    <t>Se han planificado actividades orientadas a la Promoción Activa de la Participación Estudiantil (municipio escolar, “Somos Pares”, club de ciencias, club de ajedrez, club deportivo activos u otros)</t>
  </si>
  <si>
    <t>La IE implementa espacios de diálogo y debate entre estudiantes sobre todo aquello que influye en una formación integral. (Asuntos públicos: problemas específicos de la vida en la escuela, aprendizajes, etc.)</t>
  </si>
  <si>
    <t>La IE cuenta con su directorio de aliados para la prevención de situaciones de riesgo, para la promoción de una sana convivencia.</t>
  </si>
  <si>
    <t>En la IE se han implementado normas de convivencia y medidas correctivas, las mismas que han sido difundidas entre los miembros de la comunidad educativa.</t>
  </si>
  <si>
    <t>La IE ha socializado los protocolos para atender los casos de violencia escolar. (Protocolo de atención RM 383-2025) y estos son registrados y reportados, en la plataforma de SISEVE.</t>
  </si>
  <si>
    <t>La IE ha previsto la aplicación del Kit de Bienestar Socioemocional a los estudiantes para la toma de decisiones y se ha reportado al Mundo IE.</t>
  </si>
  <si>
    <t>Los directivos, convocan reunión de trabajo para analizar reportes de convivencia, casos de tutoría y necesidades socioemocionales de los estudiantes.</t>
  </si>
  <si>
    <t>ASPECTO 02: P3 INSTITUCIONES EDUCATIVAS QUE ASEGURAN EL BUEN VIVIR - Componente Pedagógico: Implementación TOECE</t>
  </si>
  <si>
    <t>ASPECTO 03: P1 INSTITUCIONES EDUCATIVAS QUE ASEGURAN APRENDIZAJES – Componente Pedagógico y Componente de Gestión: Organización</t>
  </si>
  <si>
    <t>Ha establecido las metas de logros de aprendizaje para el año 2026 y están incorporadas en los documentos de planificación curricular</t>
  </si>
  <si>
    <t>El directivo sistematiza la información obtenida a partir del monitoreo de la práctica pedagógica (inicio, proceso y salida) identificando logros y necesidades formativas, socializa con los docentes en reuniones colegiadas para proponer acciones de mejora y ejecuta acciones formativas. Porcentaje de avance del monitoreo de inicio: ___%</t>
  </si>
  <si>
    <t>La IE cuenta con el (PEAI) y RD de conformación de las Brigadas de Educación Ambiental y Gestión de Riesgo de Desastres, además de monitorear el cumplimiento de sus funciones y realizar el seguimiento de las actividades propuestas en el plan de trabajo.</t>
  </si>
  <si>
    <t>Se cuenta con Plan Lector aprobado con RD y en el PAT y considera las etapas de la muestra la implementación según cronograma.</t>
  </si>
  <si>
    <t>El directivo ha identificado e implementado buenas prácticas (pedagógica y/o gestión) y/o Proyecto(s) de Innovación en la IE y los ha incluido en el PAT. Además, presenta evidencias de los avances o resultados de la implementación.</t>
  </si>
  <si>
    <t>El directivo sistematiza, analiza y reflexiona sobre los resultados de aprendizaje de la evaluación diagnóstica por competencias, a fin de proponer acciones de mejora con la comunidad educativa.</t>
  </si>
  <si>
    <t>El equipo directivo y Coordinador pedagógico, revisan y retroalimentan la planificación del refuerzo escolar para asegurar que incluya acciones de atención diferenciada según las necesidades de los estudiantes. Monitorean y acompañan a la implementación de R. E, en cada etapa</t>
  </si>
  <si>
    <t>Promueve el uso de espacios educativos de la I.E así como el empleo de materiales educativos diversos generando mejores condiciones para los aprendizajes (laboratorios, talleres, bibliotecas, aulas flexibles, AIP, entre otros)</t>
  </si>
  <si>
    <t>El director y subdirectores realizan el monitoreo y acompañamiento a las funciones del coordinador pedagógico, coordinador de tutoría y revisan conjuntamente con los coordinadores los registros de visita aula. A si como realizan reuniones de orientación al CIST y Psicólogo.</t>
  </si>
  <si>
    <t>El equipo directivo y los coordinadores se reúnen semanalmente para evaluar el desarrollo de las actividades educativas y para consensuar pautas de trabajo común, establecen acuerdos para la mejora de la IE</t>
  </si>
  <si>
    <t>Monitorea las horas complementarias: Trabajo curricular del área curricular, colegiado de tutoría, atención a estudiantes y de familias, elaboración/ reajuste de materiales educativos, retroalimentación escrita, investigación para la mejora de la práctica.</t>
  </si>
  <si>
    <t>El equipo directivo y coordinadores han participado en las acciones formativas que organiza la UGEL, DRELM o MINEDU para fortalecer sus competencias profesionales y se realiza replicas.</t>
  </si>
  <si>
    <t>ASPECTO 04: P1 INSTITUCIONES EDUCATIVAS QUE ASEGURAN APRENDIZAJES –Componente de Soporte: Acompañamiento Interno</t>
  </si>
  <si>
    <t>El coordinador pedagógico realizó la sensibilización al equipo docente a cargo, así como el monitoreo diagnóstico al docente, sistematiza los resultados (informe para el reporte en el SIMON dentro del plazo indicado) Porcentaje de avance del monitoreo de diagnóstico: _____%</t>
  </si>
  <si>
    <t>El coordinador pedagógico cuenta con su plan de acompañamiento y matriz de necesidades formativas sobre la práctica pedagógica</t>
  </si>
  <si>
    <t>El Coordinador Pedagógico (CP) desarrolla acciones formativas (talleres, debate, webinar, sensibilización entre otros) en las reuniones de trabajo colegiado (RTC) u otros espacios.</t>
  </si>
  <si>
    <t>Las reuniones de Trabajo Colegiado pedagógico se realizan semanalmente, definiendo el propósito pedagógico, las estrategias de trabajo y los recursos necesarios. logrando establecer acuerdos para la mejora de los aprendizajes de los estudiantes.</t>
  </si>
  <si>
    <t>El coordinador de Tutoría (CT) realiza la sensibilización al equipo de docente, así como el monitoreo diagnostico a los docentes tutores a , sistematiza los resultados y realiza el análisis conjuntamente con los directivos (para el reporte del SIMON dentro de las fechas indicadas).</t>
  </si>
  <si>
    <t>El coordinador de Tutoría (CT) cuenta con su plan de acompañamiento y matriz de necesidades formativas sobre la practica pedagógica.</t>
  </si>
  <si>
    <t>El Coordinador de Tutoría (CT) desarrolla acciones formativas (talleres, debate, webinar, sensibilización entre otros) en las reuniones de trabajo colegiado u otros espacios.</t>
  </si>
  <si>
    <t>Las reuniones de trabajo Colegiado en tutoría se realizan semanalmente, estableciendo compromisos para la mejora de la convivencia y de los aprendizajes de los estudiantes.</t>
  </si>
  <si>
    <t>ASPECTO 05: P1 INSTITUCIONES EDUCATIVAS QUE ASEGURAN APRENDIZAJES Componente Gestión del Personal de Apoyo</t>
  </si>
  <si>
    <t>El psicólogo formaliza alianzas con instituciones y actores clave de la comunidad para mejorar la atención a los problemas de los estudiantes en la escuela.</t>
  </si>
  <si>
    <t>El psicólogo(a) cuenta con un plan de trabajo alineado al diagnóstico institucional y desarrolla actividades formativas (talleres, charlas, sensibilización y otros).</t>
  </si>
  <si>
    <t>El psicólogo(a) sostiene reuniones con madres y/o padres de familia para brindarles orientación y apoyo.</t>
  </si>
  <si>
    <t>El psicólogo(a). asesora, orienta, sensibiliza y promueve la implementación de la TOE, de acuerdo con el plan de trabajo elaborado y reporta las actividades realizadas.</t>
  </si>
  <si>
    <t>El CIST cuenta con inventario y realiza acciones orientadas a dar soporte y mantenimiento a los equipos tecnológicos (Plataformas educativas, laptop, PC, proyectores multimedia, Otros) de la IE, siguiendo el plan de trabajo elaborado y cumple con reportarlas.</t>
  </si>
  <si>
    <t>El Coordinador de Innovación y Soporte Tecnológico (CIST) fortalece las competencias digitales de la comunidad educativa y registra el uso de los recursos educativos utilizados por los docentes.</t>
  </si>
  <si>
    <t>El CIST acondiciona el laboratorio de inglés y lleva control del uso del mismo por los docentes del área de Inglés.</t>
  </si>
  <si>
    <t>RESULTADO</t>
  </si>
  <si>
    <t xml:space="preserve">1105 LA SAGRADA FAMILIA </t>
  </si>
  <si>
    <t>0535666</t>
  </si>
  <si>
    <t>O3</t>
  </si>
  <si>
    <t>MARÍA JANNET SALAZAR QUISPE</t>
  </si>
  <si>
    <t>DESIGNADO</t>
  </si>
  <si>
    <t>mariasalazar033@gmail.com</t>
  </si>
  <si>
    <t>LIZANDRO QUISPE ILIZAR</t>
  </si>
  <si>
    <t>07874029</t>
  </si>
  <si>
    <t>lizandrog@gmail.com</t>
  </si>
  <si>
    <t>JOSE SANTOS CHOCANO</t>
  </si>
  <si>
    <t>jaime.lauroc@gmail.com</t>
  </si>
  <si>
    <t>JAIME LAURO CABALLERO CARDENAS</t>
  </si>
  <si>
    <t>Cantidad de C.P</t>
  </si>
  <si>
    <t xml:space="preserve">
Cantidad de C.T</t>
  </si>
  <si>
    <t>ANGELICA PALMA ROMAN</t>
  </si>
  <si>
    <t>0340331</t>
  </si>
  <si>
    <t>NIO</t>
  </si>
  <si>
    <t>NORMA AGUILAR DE MORALES</t>
  </si>
  <si>
    <t xml:space="preserve">PILAR HUARCAYA CABEZAS </t>
  </si>
  <si>
    <t>07490384</t>
  </si>
  <si>
    <t>maly444466@gmail.com</t>
  </si>
  <si>
    <t>24 ROSA IRENE INFANTE CANALES</t>
  </si>
  <si>
    <t>0337766</t>
  </si>
  <si>
    <t>MARIA ISABEL ANICAMA GOVEA</t>
  </si>
  <si>
    <t>06816247</t>
  </si>
  <si>
    <t>06693277</t>
  </si>
  <si>
    <t>maria_anicama@ugel03.gob.pe</t>
  </si>
  <si>
    <t>ROXANA DEL CARMEN LUQUE RAMOS</t>
  </si>
  <si>
    <t>25573680</t>
  </si>
  <si>
    <t>roluramos2020@gmail.com</t>
  </si>
  <si>
    <t>JUAN PABLO VIZCARDO Y GUZMAN</t>
  </si>
  <si>
    <t>0336594</t>
  </si>
  <si>
    <t>MOISES ALVARO QUINCHA</t>
  </si>
  <si>
    <t>colegioJPVYG@gmail.com</t>
  </si>
  <si>
    <t>06708202</t>
  </si>
  <si>
    <t>marlenefigueroahuaman@gmail.com</t>
  </si>
  <si>
    <t>MARLENE G. FIGUEROA HUAMAN</t>
  </si>
  <si>
    <t>GRAL. FELIPE SANTIAGO SALAVERRY</t>
  </si>
  <si>
    <t>0340463</t>
  </si>
  <si>
    <t>JUAN EDUARDO SALVADOR GLORIA</t>
  </si>
  <si>
    <t>31642458</t>
  </si>
  <si>
    <t>jsalvadorgloria@gmail.com</t>
  </si>
  <si>
    <t>PUNTAJE</t>
  </si>
  <si>
    <t>BARTOLOMÉ HERRERA</t>
  </si>
  <si>
    <t>0334699</t>
  </si>
  <si>
    <t>25592353</t>
  </si>
  <si>
    <t>ANA MARIA CAMINO CALDERON</t>
  </si>
  <si>
    <t>anacaminocal@gmail.com</t>
  </si>
  <si>
    <t>DAVID VILLEGAS ROJAS</t>
  </si>
  <si>
    <t>04080018</t>
  </si>
  <si>
    <t>david.villegasrojas608@gmail.com</t>
  </si>
  <si>
    <t>ISABELA LA CATOLICA</t>
  </si>
  <si>
    <t>0245662</t>
  </si>
  <si>
    <t>MAITE FANNY MACHARE GONZALES</t>
  </si>
  <si>
    <t>15713953</t>
  </si>
  <si>
    <t>ENCARGADA</t>
  </si>
  <si>
    <t>maitem1104@gmail.com</t>
  </si>
  <si>
    <t>KATTY HERRERA LÓPEZ</t>
  </si>
  <si>
    <t>08419961</t>
  </si>
  <si>
    <t>katty.herrera@ilar.edu.pe</t>
  </si>
  <si>
    <t>REPUBLICA DE CHILE</t>
  </si>
  <si>
    <t>0644690</t>
  </si>
  <si>
    <t>05461676</t>
  </si>
  <si>
    <t>ggarciaamelia1@gmail.com</t>
  </si>
  <si>
    <t>21546879</t>
  </si>
  <si>
    <t>FAUSTINO JARUPE YAMPATE</t>
  </si>
  <si>
    <t xml:space="preserve">jarukey@hotmail.com </t>
  </si>
  <si>
    <t>GLADYS AMELIA GARCÍA LOZANO</t>
  </si>
  <si>
    <t>1157 JULIO CESAR TELLO</t>
  </si>
  <si>
    <t>0763771</t>
  </si>
  <si>
    <t>GLORIA M. AVALOS VERA</t>
  </si>
  <si>
    <t>21790551</t>
  </si>
  <si>
    <t>gloriamal2023@gmail.com</t>
  </si>
  <si>
    <t>EDWARD A. SOLIS PALOMINO</t>
  </si>
  <si>
    <t>09431612</t>
  </si>
  <si>
    <t>edolis@julioctello.edu.pe</t>
  </si>
  <si>
    <t>105 PEDRO CORONADO ARRASCUE</t>
  </si>
  <si>
    <t>0336511</t>
  </si>
  <si>
    <t>MARINO HUISA JURICHAQUI</t>
  </si>
  <si>
    <t>21123448</t>
  </si>
  <si>
    <t>huisa2525@gmail.com</t>
  </si>
  <si>
    <t xml:space="preserve">JAVIER ANTONIO PEVES LOZANO </t>
  </si>
  <si>
    <t>15433364</t>
  </si>
  <si>
    <t>987295469</t>
  </si>
  <si>
    <t>ENCARGADO</t>
  </si>
  <si>
    <t>javpevloz@hotmail.es</t>
  </si>
  <si>
    <t>TUPAC AMARU</t>
  </si>
  <si>
    <t>0340364</t>
  </si>
  <si>
    <t>MARITZA ORÉ GOMEZ</t>
  </si>
  <si>
    <t>09769727</t>
  </si>
  <si>
    <t>oregomezmaritza4619@gmail.com</t>
  </si>
  <si>
    <t>MARIA ESTELA MARTINEZ RAMOS</t>
  </si>
  <si>
    <t>09989228</t>
  </si>
  <si>
    <t>mmartinezalis7@gmail.com</t>
  </si>
  <si>
    <t>ROSA DOMINGA PEREZ LLENDO</t>
  </si>
  <si>
    <t>0340398</t>
  </si>
  <si>
    <t xml:space="preserve">ELVA MILAGROS MUÑOZ TUESTA </t>
  </si>
  <si>
    <t>25776879</t>
  </si>
  <si>
    <t>NOMBRADO</t>
  </si>
  <si>
    <t>emuñoz@ierosaperezliendo.edu.pe</t>
  </si>
  <si>
    <t>JUANA MARIA AQUILE MUÑOZ</t>
  </si>
  <si>
    <t>07367111</t>
  </si>
  <si>
    <t>jaquije@ierosaperezliendo.edu.pe</t>
  </si>
  <si>
    <t>0099 OSCAR MIRO QUESADA DE LA GUERRA</t>
  </si>
  <si>
    <t>0644880</t>
  </si>
  <si>
    <t>AMME LEANDRO DE LOS REYES</t>
  </si>
  <si>
    <t>07299756</t>
  </si>
  <si>
    <t>amme.leandro20@gmail.com</t>
  </si>
  <si>
    <t>103 LUIS ARMANDO CABELLO HURTADO</t>
  </si>
  <si>
    <t>09961091</t>
  </si>
  <si>
    <t>CESAR ANIBAL MANCO DE LA CRUZ</t>
  </si>
  <si>
    <t>manco1307@hotmail.com</t>
  </si>
  <si>
    <t>NELY BETTY VARA QUISPE</t>
  </si>
  <si>
    <t>09425758</t>
  </si>
  <si>
    <t>nelibetty13@gmail.com</t>
  </si>
  <si>
    <t>HILMER CARLOS MARCHAN CAZ</t>
  </si>
  <si>
    <t>22719729</t>
  </si>
  <si>
    <t>marchi5@hotmail.com</t>
  </si>
  <si>
    <t>PEDRO GALEZ EGUSQUIZA</t>
  </si>
  <si>
    <t>0334680</t>
  </si>
  <si>
    <t>ALEJANDRO VIVIANO TUMBAY</t>
  </si>
  <si>
    <t>40656140</t>
  </si>
  <si>
    <t>ebr.pge@ugel03.edu.pe</t>
  </si>
  <si>
    <t>DIEGO PORTILLO MIRANDA</t>
  </si>
  <si>
    <t>42167124</t>
  </si>
  <si>
    <t>d42167124o@perueduca.edu.pe</t>
  </si>
  <si>
    <t>MICAELA BASTIDAS</t>
  </si>
  <si>
    <t>0334714</t>
  </si>
  <si>
    <t xml:space="preserve">CESAR AUGUSTO LA ROSA TIMOTEO </t>
  </si>
  <si>
    <t>09584464</t>
  </si>
  <si>
    <t>csoral13@gmail.com</t>
  </si>
  <si>
    <t>MARIANO MELGAR</t>
  </si>
  <si>
    <t>0334664</t>
  </si>
  <si>
    <t>EDGARD NOLAZCO RIVAS</t>
  </si>
  <si>
    <t>15356512</t>
  </si>
  <si>
    <t>eanr510@gmail.com</t>
  </si>
  <si>
    <t>JUAN CARLOS APARCANA</t>
  </si>
  <si>
    <t>06269444</t>
  </si>
  <si>
    <t>jcaparacanareinoso@gmail.com</t>
  </si>
  <si>
    <t>DIEGO FERRE</t>
  </si>
  <si>
    <t>0601462</t>
  </si>
  <si>
    <t>CARMEN YSABEL GONZALES PEÑA</t>
  </si>
  <si>
    <t>21528564</t>
  </si>
  <si>
    <t>carysagonzales@gmail.com</t>
  </si>
  <si>
    <t>KETTY ROSALES CHIPANA</t>
  </si>
  <si>
    <t>09887207</t>
  </si>
  <si>
    <t>ASIGNADO</t>
  </si>
  <si>
    <t>rosaleskettymary@gmail.com</t>
  </si>
  <si>
    <t>0003 NUESTRA SEÑORA DEL CARMEN</t>
  </si>
  <si>
    <t>YOLANDA JEANELLE VILLANUEVA ESPINOZA</t>
  </si>
  <si>
    <t>04072228</t>
  </si>
  <si>
    <t>janetvillanueva141072@gmail.com</t>
  </si>
  <si>
    <t>CARLOS RAMOS TREJO</t>
  </si>
  <si>
    <t>22894646</t>
  </si>
  <si>
    <t>carlosramostrejo@iensc.net</t>
  </si>
  <si>
    <t>0336636</t>
  </si>
  <si>
    <t>MARIA MERCEDES PACHAS REQUENA</t>
  </si>
  <si>
    <t>21862178</t>
  </si>
  <si>
    <t>pachasmaria.17@gmail.com</t>
  </si>
  <si>
    <t>GRAL ROQUE SAENZ PEÑA</t>
  </si>
  <si>
    <t>MIGUEL GRAU</t>
  </si>
  <si>
    <t>0245670</t>
  </si>
  <si>
    <t>OSCAR TELLO RODRIGUEZ</t>
  </si>
  <si>
    <t>19802658</t>
  </si>
  <si>
    <t>__@ieemiguelgrau.ed.pe</t>
  </si>
  <si>
    <t>MARCELA CALDERON RODRIGUEZ</t>
  </si>
  <si>
    <t>06773532</t>
  </si>
  <si>
    <t>HIPOLOTO UNANUE</t>
  </si>
  <si>
    <t>0334656</t>
  </si>
  <si>
    <t xml:space="preserve">MARIA LOZANO GUERRA </t>
  </si>
  <si>
    <t>15370909</t>
  </si>
  <si>
    <t>maria-loguerra.@gmail.com</t>
  </si>
  <si>
    <t>RUTH MILAGROS LINO TUPIÑA</t>
  </si>
  <si>
    <t>06277909</t>
  </si>
  <si>
    <t>ruthlino2016@gmail.com</t>
  </si>
  <si>
    <t>MELITON CARVAJAL</t>
  </si>
  <si>
    <t>0245647</t>
  </si>
  <si>
    <t>CONSUYELO  ELIZABETH SOTO MEZA</t>
  </si>
  <si>
    <t>09564831</t>
  </si>
  <si>
    <t>consesm@yahoo.es</t>
  </si>
  <si>
    <t>FAVIA ELVIRA SALAZAR GUTIERREZ</t>
  </si>
  <si>
    <t>NOMBRADA</t>
  </si>
  <si>
    <t>favicep@gmail.com</t>
  </si>
  <si>
    <t>1071 ALFONSO UGARTE</t>
  </si>
  <si>
    <t>0340224</t>
  </si>
  <si>
    <t xml:space="preserve">CARMEN ROSA PANTA ALNOMENTE </t>
  </si>
  <si>
    <t>10276419</t>
  </si>
  <si>
    <t>0001 MARIA AUXILIADORA</t>
  </si>
  <si>
    <t>0466030</t>
  </si>
  <si>
    <t>SOR VIRGINIA ARECHE</t>
  </si>
  <si>
    <t>07956807</t>
  </si>
  <si>
    <t>virginiaareche@cepma.edu.pe</t>
  </si>
  <si>
    <t>022 REPUBLIZCA DE GUATEMALA</t>
  </si>
  <si>
    <t>0337741</t>
  </si>
  <si>
    <t>ZOILA MARÍA PINEDO VEGA</t>
  </si>
  <si>
    <t>10435837</t>
  </si>
  <si>
    <t>zoila.docente27@gmail.com</t>
  </si>
  <si>
    <t>TERESA GONZALES DE FANNING</t>
  </si>
  <si>
    <t>0540492</t>
  </si>
  <si>
    <t>HONORIO LOPEZ REYNA</t>
  </si>
  <si>
    <t>ELIZABETH CRISTINA GOYENA ARCE</t>
  </si>
  <si>
    <t>09898591</t>
  </si>
  <si>
    <t>iebhega@gmail.com</t>
  </si>
  <si>
    <t>06191791</t>
  </si>
  <si>
    <t>hlopezr@tgfefaning.edu.pe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</si>
</sst>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3" x14ac:knownFonts="1">
    <font>
      <sz val="11"/>
      <color theme="1"/>
      <name val="Calibri"/>
      <family val="2"/>
      <scheme val="minor"/>
    </font>
    <font>
      <b/>
      <sz val="11"/>
      <color theme="1"/>
      <name val="Calibri"/>
      <family val="2"/>
      <scheme val="minor"/>
    </font>
    <font>
      <sz val="10"/>
      <color theme="1"/>
      <name val="Arial"/>
      <family val="2"/>
    </font>
    <font>
      <b/>
      <sz val="11"/>
      <color theme="1"/>
      <name val="Arial"/>
      <family val="2"/>
    </font>
    <font>
      <b/>
      <sz val="10"/>
      <name val="Arial"/>
      <family val="2"/>
    </font>
    <font>
      <b/>
      <sz val="14"/>
      <color theme="1"/>
      <name val="Arial"/>
      <family val="2"/>
    </font>
    <font>
      <b/>
      <sz val="12"/>
      <color theme="1"/>
      <name val="Arial"/>
      <family val="2"/>
    </font>
    <font>
      <sz val="12"/>
      <color theme="1"/>
      <name val="Arial"/>
      <family val="2"/>
    </font>
    <font>
      <sz val="14"/>
      <color theme="1"/>
      <name val="Arial"/>
      <family val="2"/>
    </font>
    <font>
      <b/>
      <sz val="16"/>
      <color theme="1"/>
      <name val="Arial"/>
      <family val="2"/>
    </font>
    <font>
      <sz val="16"/>
      <color theme="1"/>
      <name val="Arial"/>
      <family val="2"/>
    </font>
    <font>
      <b/>
      <sz val="12"/>
      <color theme="0"/>
      <name val="Arial"/>
      <family val="2"/>
    </font>
    <font>
      <b/>
      <sz val="14"/>
      <name val="Arial"/>
      <family val="2"/>
    </font>
    <font>
      <b/>
      <sz val="10"/>
      <color theme="1"/>
      <name val="Arial"/>
      <family val="2"/>
    </font>
    <font>
      <u/>
      <sz val="11"/>
      <color theme="10"/>
      <name val="Calibri"/>
      <family val="2"/>
      <scheme val="minor"/>
    </font>
    <font>
      <b/>
      <sz val="20"/>
      <color rgb="FFFFFF00"/>
      <name val="Calibri"/>
      <family val="2"/>
      <scheme val="minor"/>
    </font>
    <font>
      <sz val="9.5"/>
      <color theme="1"/>
      <name val="Arial"/>
      <family val="2"/>
    </font>
    <font>
      <sz val="11"/>
      <color theme="1"/>
      <name val="Arial"/>
      <family val="2"/>
    </font>
    <font>
      <sz val="9"/>
      <color rgb="FF000000"/>
      <name val="Arial"/>
      <family val="2"/>
    </font>
    <font>
      <u/>
      <sz val="11"/>
      <color theme="10"/>
      <name val="Arial"/>
      <family val="2"/>
    </font>
    <font>
      <sz val="11"/>
      <color rgb="FF242424"/>
      <name val="Arial"/>
      <family val="2"/>
    </font>
    <font>
      <sz val="8"/>
      <color theme="1"/>
      <name val="Arial"/>
      <family val="2"/>
    </font>
    <font>
      <sz val="9"/>
      <color theme="1"/>
      <name val="Arial"/>
      <family val="2"/>
    </font>
  </fonts>
  <fills count="32">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rgb="FFE8D1FF"/>
        <bgColor indexed="64"/>
      </patternFill>
    </fill>
    <fill>
      <patternFill patternType="solid">
        <fgColor rgb="FFDEBDFF"/>
        <bgColor indexed="64"/>
      </patternFill>
    </fill>
    <fill>
      <patternFill patternType="solid">
        <fgColor rgb="FFE6EBF6"/>
        <bgColor indexed="64"/>
      </patternFill>
    </fill>
    <fill>
      <patternFill patternType="solid">
        <fgColor rgb="FFCBF8FD"/>
        <bgColor indexed="64"/>
      </patternFill>
    </fill>
    <fill>
      <patternFill patternType="solid">
        <fgColor rgb="FF94F0FA"/>
        <bgColor indexed="64"/>
      </patternFill>
    </fill>
    <fill>
      <patternFill patternType="solid">
        <fgColor theme="0" tint="-4.9989318521683403E-2"/>
        <bgColor indexed="64"/>
      </patternFill>
    </fill>
    <fill>
      <patternFill patternType="solid">
        <fgColor rgb="FFFFF8E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E8A7"/>
        <bgColor indexed="64"/>
      </patternFill>
    </fill>
    <fill>
      <patternFill patternType="solid">
        <fgColor rgb="FFFEE8F5"/>
        <bgColor indexed="64"/>
      </patternFill>
    </fill>
    <fill>
      <patternFill patternType="solid">
        <fgColor rgb="FFFDD3EC"/>
        <bgColor indexed="64"/>
      </patternFill>
    </fill>
    <fill>
      <patternFill patternType="solid">
        <fgColor theme="2" tint="-9.9978637043366805E-2"/>
        <bgColor indexed="64"/>
      </patternFill>
    </fill>
    <fill>
      <patternFill patternType="solid">
        <fgColor rgb="FFEAD5FF"/>
        <bgColor indexed="64"/>
      </patternFill>
    </fill>
    <fill>
      <patternFill patternType="solid">
        <fgColor rgb="FFEF5786"/>
        <bgColor indexed="64"/>
      </patternFill>
    </fill>
    <fill>
      <patternFill patternType="solid">
        <fgColor rgb="FFFFB553"/>
        <bgColor indexed="64"/>
      </patternFill>
    </fill>
    <fill>
      <patternFill patternType="solid">
        <fgColor rgb="FFBDDC02"/>
        <bgColor indexed="64"/>
      </patternFill>
    </fill>
    <fill>
      <patternFill patternType="solid">
        <fgColor rgb="FFCCFFFF"/>
        <bgColor indexed="64"/>
      </patternFill>
    </fill>
    <fill>
      <patternFill patternType="solid">
        <fgColor rgb="FF002060"/>
        <bgColor indexed="64"/>
      </patternFill>
    </fill>
    <fill>
      <patternFill patternType="solid">
        <fgColor rgb="FFC496DE"/>
        <bgColor indexed="64"/>
      </patternFill>
    </fill>
  </fills>
  <borders count="24">
    <border>
      <left/>
      <right/>
      <top/>
      <bottom/>
      <diagonal/>
    </border>
    <border>
      <left/>
      <right/>
      <top/>
      <bottom style="thin">
        <color theme="0"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bottom/>
      <diagonal/>
    </border>
    <border>
      <left/>
      <right style="thin">
        <color theme="2" tint="-0.499984740745262"/>
      </right>
      <top/>
      <bottom style="thin">
        <color theme="0" tint="-0.499984740745262"/>
      </bottom>
      <diagonal/>
    </border>
    <border>
      <left/>
      <right style="thin">
        <color theme="2" tint="-0.499984740745262"/>
      </right>
      <top style="thin">
        <color theme="2" tint="-0.499984740745262"/>
      </top>
      <bottom/>
      <diagonal/>
    </border>
    <border>
      <left style="thin">
        <color theme="2" tint="-0.499984740745262"/>
      </left>
      <right/>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
      <left style="thin">
        <color indexed="64"/>
      </left>
      <right style="thin">
        <color indexed="64"/>
      </right>
      <top style="thin">
        <color indexed="64"/>
      </top>
      <bottom style="thin">
        <color indexed="64"/>
      </bottom>
      <diagonal/>
    </border>
    <border>
      <left style="thin">
        <color theme="2" tint="-0.499984740745262"/>
      </left>
      <right style="thin">
        <color theme="2" tint="-0.499984740745262"/>
      </right>
      <top/>
      <bottom style="thin">
        <color theme="2" tint="-0.499984740745262"/>
      </bottom>
      <diagonal/>
    </border>
    <border>
      <left style="thin">
        <color indexed="64"/>
      </left>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2" tint="-0.499984740745262"/>
      </left>
      <right style="thin">
        <color theme="2" tint="-0.499984740745262"/>
      </right>
      <top style="thin">
        <color theme="2" tint="-0.49998474074526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499984740745262"/>
      </left>
      <right/>
      <top style="thin">
        <color indexed="64"/>
      </top>
      <bottom/>
      <diagonal/>
    </border>
    <border>
      <left/>
      <right/>
      <top style="thin">
        <color indexed="64"/>
      </top>
      <bottom/>
      <diagonal/>
    </border>
    <border>
      <left/>
      <right style="thin">
        <color theme="2" tint="-0.499984740745262"/>
      </right>
      <top style="thin">
        <color indexed="64"/>
      </top>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indexed="64"/>
      </bottom>
      <diagonal/>
    </border>
  </borders>
  <cellStyleXfs count="3">
    <xf numFmtId="0" fontId="0" fillId="0" borderId="0"/>
    <xf numFmtId="0" fontId="14" fillId="0" borderId="0" applyNumberFormat="0" applyFill="0" applyBorder="0" applyAlignment="0" applyProtection="0"/>
    <xf numFmtId="0" fontId="14" fillId="0" borderId="0" applyNumberFormat="0" applyFill="0" applyBorder="0" applyAlignment="0" applyProtection="0"/>
  </cellStyleXfs>
  <cellXfs count="156">
    <xf numFmtId="0" fontId="0" fillId="0" borderId="0" xfId="0"/>
    <xf numFmtId="0" fontId="0" fillId="0" borderId="0" xfId="0" applyAlignment="1">
      <alignment horizontal="left"/>
    </xf>
    <xf numFmtId="0" fontId="0" fillId="0" borderId="2" xfId="0" applyBorder="1"/>
    <xf numFmtId="0" fontId="3" fillId="11" borderId="2" xfId="0" quotePrefix="1" applyFont="1" applyFill="1" applyBorder="1" applyAlignment="1">
      <alignment horizontal="center" vertical="center"/>
    </xf>
    <xf numFmtId="0" fontId="3" fillId="21" borderId="2" xfId="0" quotePrefix="1" applyFont="1" applyFill="1" applyBorder="1" applyAlignment="1">
      <alignment horizontal="center" vertical="center"/>
    </xf>
    <xf numFmtId="0" fontId="3" fillId="23" borderId="2" xfId="0" quotePrefix="1" applyFont="1" applyFill="1" applyBorder="1" applyAlignment="1">
      <alignment horizontal="center" vertical="center"/>
    </xf>
    <xf numFmtId="0" fontId="3" fillId="24" borderId="2" xfId="0" quotePrefix="1" applyFont="1" applyFill="1" applyBorder="1" applyAlignment="1">
      <alignment horizontal="center" vertical="center"/>
    </xf>
    <xf numFmtId="0" fontId="2" fillId="8" borderId="2" xfId="0" applyFont="1" applyFill="1" applyBorder="1" applyAlignment="1">
      <alignment horizontal="center" vertical="center" textRotation="90" wrapText="1"/>
    </xf>
    <xf numFmtId="0" fontId="2" fillId="18" borderId="2" xfId="0" applyFont="1" applyFill="1" applyBorder="1" applyAlignment="1">
      <alignment horizontal="center" vertical="center" textRotation="90" wrapText="1"/>
    </xf>
    <xf numFmtId="0" fontId="2" fillId="22" borderId="2" xfId="0" applyFont="1" applyFill="1" applyBorder="1" applyAlignment="1">
      <alignment horizontal="center" vertical="center" textRotation="90" wrapText="1"/>
    </xf>
    <xf numFmtId="0" fontId="8" fillId="19" borderId="2" xfId="0" applyFont="1" applyFill="1" applyBorder="1" applyAlignment="1">
      <alignment horizontal="center" vertical="center"/>
    </xf>
    <xf numFmtId="0" fontId="7"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7" fillId="2" borderId="2" xfId="0" applyFont="1" applyFill="1" applyBorder="1" applyAlignment="1">
      <alignment horizontal="center" vertical="center"/>
    </xf>
    <xf numFmtId="0" fontId="7" fillId="25" borderId="2" xfId="0" applyFont="1" applyFill="1" applyBorder="1" applyAlignment="1">
      <alignment horizontal="center" vertical="center"/>
    </xf>
    <xf numFmtId="0" fontId="12" fillId="20" borderId="2" xfId="0" applyFont="1" applyFill="1" applyBorder="1" applyAlignment="1">
      <alignment horizontal="center" vertical="center" wrapText="1"/>
    </xf>
    <xf numFmtId="0" fontId="12" fillId="19" borderId="2" xfId="0" applyFont="1" applyFill="1" applyBorder="1" applyAlignment="1">
      <alignment horizontal="center" vertical="center" textRotation="90" wrapText="1"/>
    </xf>
    <xf numFmtId="0" fontId="3" fillId="8" borderId="2" xfId="0" applyFont="1" applyFill="1" applyBorder="1" applyAlignment="1">
      <alignment horizontal="center" vertical="center"/>
    </xf>
    <xf numFmtId="0" fontId="1" fillId="8" borderId="2" xfId="0" applyFont="1" applyFill="1" applyBorder="1" applyAlignment="1">
      <alignment horizontal="left"/>
    </xf>
    <xf numFmtId="49" fontId="7" fillId="20" borderId="2" xfId="0" applyNumberFormat="1" applyFont="1" applyFill="1" applyBorder="1" applyAlignment="1">
      <alignment horizontal="center" vertical="center"/>
    </xf>
    <xf numFmtId="0" fontId="0" fillId="0" borderId="0" xfId="0" applyAlignment="1">
      <alignment vertical="center"/>
    </xf>
    <xf numFmtId="164" fontId="0" fillId="9" borderId="2" xfId="0" applyNumberFormat="1" applyFill="1" applyBorder="1"/>
    <xf numFmtId="0" fontId="7" fillId="6" borderId="2" xfId="0" applyFont="1" applyFill="1" applyBorder="1" applyAlignment="1">
      <alignment horizontal="center" vertical="center"/>
    </xf>
    <xf numFmtId="0" fontId="7" fillId="29" borderId="2" xfId="0" applyFont="1" applyFill="1" applyBorder="1" applyAlignment="1">
      <alignment horizontal="center" vertical="center"/>
    </xf>
    <xf numFmtId="0" fontId="5" fillId="6" borderId="2" xfId="0" applyFont="1" applyFill="1" applyBorder="1" applyAlignment="1">
      <alignment horizontal="center" vertical="center"/>
    </xf>
    <xf numFmtId="0" fontId="4" fillId="7" borderId="14" xfId="0" applyFont="1" applyFill="1" applyBorder="1" applyAlignment="1">
      <alignment horizontal="center" vertical="center" textRotation="90" wrapText="1"/>
    </xf>
    <xf numFmtId="0" fontId="4" fillId="7" borderId="14" xfId="0" applyFont="1" applyFill="1" applyBorder="1" applyAlignment="1">
      <alignment horizontal="center" vertical="center" wrapText="1"/>
    </xf>
    <xf numFmtId="0" fontId="4" fillId="7" borderId="14"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0" fontId="5" fillId="6" borderId="12" xfId="0" applyFont="1" applyFill="1" applyBorder="1" applyAlignment="1">
      <alignment horizontal="center" vertical="center"/>
    </xf>
    <xf numFmtId="0" fontId="7" fillId="6" borderId="12" xfId="0" applyFont="1" applyFill="1" applyBorder="1" applyAlignment="1">
      <alignment horizontal="center" vertical="center"/>
    </xf>
    <xf numFmtId="0" fontId="3" fillId="8" borderId="12" xfId="0" applyFont="1" applyFill="1" applyBorder="1" applyAlignment="1">
      <alignment horizontal="center" vertical="center"/>
    </xf>
    <xf numFmtId="0" fontId="7" fillId="8" borderId="12" xfId="0" applyFont="1" applyFill="1" applyBorder="1" applyAlignment="1">
      <alignment horizontal="center" vertical="center"/>
    </xf>
    <xf numFmtId="0" fontId="7" fillId="18" borderId="11" xfId="0" applyFont="1" applyFill="1" applyBorder="1" applyAlignment="1">
      <alignment horizontal="center" vertical="center"/>
    </xf>
    <xf numFmtId="0" fontId="7" fillId="0" borderId="11" xfId="0" applyFont="1" applyBorder="1" applyAlignment="1">
      <alignment horizontal="center" vertical="center"/>
    </xf>
    <xf numFmtId="1" fontId="10" fillId="0" borderId="11" xfId="0" applyNumberFormat="1" applyFont="1" applyBorder="1" applyAlignment="1">
      <alignment horizontal="center" vertical="center"/>
    </xf>
    <xf numFmtId="0" fontId="8" fillId="8" borderId="11" xfId="0" applyFont="1" applyFill="1" applyBorder="1" applyAlignment="1">
      <alignment horizontal="center" vertical="center"/>
    </xf>
    <xf numFmtId="0" fontId="6" fillId="0" borderId="11" xfId="0" applyFont="1" applyBorder="1" applyAlignment="1">
      <alignment horizontal="center" vertical="center"/>
    </xf>
    <xf numFmtId="0" fontId="11" fillId="26" borderId="11" xfId="0" applyFont="1" applyFill="1" applyBorder="1" applyAlignment="1">
      <alignment horizontal="center" vertical="center"/>
    </xf>
    <xf numFmtId="9" fontId="11" fillId="26" borderId="11" xfId="0" applyNumberFormat="1" applyFont="1" applyFill="1" applyBorder="1" applyAlignment="1">
      <alignment horizontal="center" vertical="center"/>
    </xf>
    <xf numFmtId="0" fontId="11" fillId="27" borderId="11" xfId="0" applyFont="1" applyFill="1" applyBorder="1" applyAlignment="1">
      <alignment horizontal="center" vertical="center"/>
    </xf>
    <xf numFmtId="9" fontId="11" fillId="27" borderId="11" xfId="0" applyNumberFormat="1" applyFont="1" applyFill="1" applyBorder="1" applyAlignment="1">
      <alignment horizontal="center" vertical="center"/>
    </xf>
    <xf numFmtId="0" fontId="7" fillId="28" borderId="11" xfId="0" applyFont="1" applyFill="1" applyBorder="1" applyAlignment="1">
      <alignment horizontal="center" vertical="center"/>
    </xf>
    <xf numFmtId="9" fontId="7" fillId="28" borderId="11" xfId="0" applyNumberFormat="1" applyFont="1" applyFill="1" applyBorder="1" applyAlignment="1">
      <alignment horizontal="center" vertical="center"/>
    </xf>
    <xf numFmtId="0" fontId="6" fillId="0" borderId="11" xfId="0" applyFont="1" applyBorder="1" applyAlignment="1">
      <alignment vertical="center"/>
    </xf>
    <xf numFmtId="0" fontId="11" fillId="26" borderId="11" xfId="0" applyFont="1" applyFill="1" applyBorder="1" applyAlignment="1">
      <alignment vertical="center"/>
    </xf>
    <xf numFmtId="0" fontId="11" fillId="27" borderId="11" xfId="0" applyFont="1" applyFill="1" applyBorder="1" applyAlignment="1">
      <alignment vertical="center"/>
    </xf>
    <xf numFmtId="0" fontId="7" fillId="28" borderId="11" xfId="0" applyFont="1" applyFill="1" applyBorder="1" applyAlignment="1">
      <alignment vertical="center"/>
    </xf>
    <xf numFmtId="49" fontId="13" fillId="8" borderId="14" xfId="0" applyNumberFormat="1" applyFont="1" applyFill="1" applyBorder="1" applyAlignment="1">
      <alignment horizontal="center" vertical="center"/>
    </xf>
    <xf numFmtId="49" fontId="0" fillId="0" borderId="0" xfId="0" applyNumberFormat="1"/>
    <xf numFmtId="49" fontId="4" fillId="7" borderId="14" xfId="0" applyNumberFormat="1" applyFont="1" applyFill="1" applyBorder="1" applyAlignment="1">
      <alignment horizontal="center" vertical="center"/>
    </xf>
    <xf numFmtId="0" fontId="1" fillId="0" borderId="0" xfId="0" applyFont="1"/>
    <xf numFmtId="164" fontId="1" fillId="9" borderId="0" xfId="0" applyNumberFormat="1" applyFont="1" applyFill="1" applyBorder="1"/>
    <xf numFmtId="0" fontId="6" fillId="2" borderId="2" xfId="0" applyFont="1" applyFill="1" applyBorder="1" applyAlignment="1">
      <alignment horizontal="center" vertical="center"/>
    </xf>
    <xf numFmtId="0" fontId="1" fillId="0" borderId="0" xfId="0" applyFont="1" applyAlignment="1">
      <alignment horizontal="center"/>
    </xf>
    <xf numFmtId="164" fontId="1" fillId="9" borderId="2" xfId="0" applyNumberFormat="1" applyFont="1" applyFill="1" applyBorder="1" applyAlignment="1">
      <alignment horizontal="center"/>
    </xf>
    <xf numFmtId="0" fontId="6" fillId="8" borderId="12" xfId="0" applyFont="1" applyFill="1" applyBorder="1" applyAlignment="1">
      <alignment horizontal="center" vertical="center"/>
    </xf>
    <xf numFmtId="0" fontId="6" fillId="8" borderId="2" xfId="0" applyFont="1" applyFill="1" applyBorder="1" applyAlignment="1">
      <alignment horizontal="center" vertical="center"/>
    </xf>
    <xf numFmtId="0" fontId="6" fillId="9" borderId="2" xfId="0" applyFont="1" applyFill="1" applyBorder="1" applyAlignment="1">
      <alignment horizontal="center" vertical="center"/>
    </xf>
    <xf numFmtId="164" fontId="1" fillId="9" borderId="2" xfId="0" applyNumberFormat="1" applyFont="1" applyFill="1" applyBorder="1"/>
    <xf numFmtId="0" fontId="1" fillId="0" borderId="0" xfId="0" applyFont="1" applyAlignment="1">
      <alignment horizontal="left"/>
    </xf>
    <xf numFmtId="0" fontId="6" fillId="8" borderId="0" xfId="0" applyFont="1" applyFill="1" applyAlignment="1">
      <alignment horizontal="center" vertical="center"/>
    </xf>
    <xf numFmtId="0" fontId="3" fillId="10" borderId="3" xfId="0" quotePrefix="1" applyFont="1" applyFill="1" applyBorder="1" applyAlignment="1">
      <alignment horizontal="center" vertical="center"/>
    </xf>
    <xf numFmtId="0" fontId="3" fillId="10" borderId="2" xfId="0" quotePrefix="1" applyFont="1" applyFill="1" applyBorder="1" applyAlignment="1">
      <alignment horizontal="center" vertical="center"/>
    </xf>
    <xf numFmtId="0" fontId="3" fillId="8" borderId="0" xfId="0" quotePrefix="1" applyFont="1" applyFill="1" applyAlignment="1">
      <alignment horizontal="center" vertical="center"/>
    </xf>
    <xf numFmtId="0" fontId="3" fillId="9" borderId="2" xfId="0" quotePrefix="1" applyFont="1" applyFill="1" applyBorder="1" applyAlignment="1">
      <alignment horizontal="center" vertical="center"/>
    </xf>
    <xf numFmtId="0" fontId="3" fillId="12" borderId="2" xfId="0" quotePrefix="1" applyFont="1" applyFill="1" applyBorder="1" applyAlignment="1">
      <alignment horizontal="center" vertical="center"/>
    </xf>
    <xf numFmtId="0" fontId="3" fillId="2" borderId="2" xfId="0" quotePrefix="1" applyFont="1" applyFill="1" applyBorder="1" applyAlignment="1">
      <alignment horizontal="center" vertical="center"/>
    </xf>
    <xf numFmtId="0" fontId="3" fillId="15" borderId="2" xfId="0" quotePrefix="1" applyFont="1" applyFill="1" applyBorder="1" applyAlignment="1">
      <alignment horizontal="center" vertical="center"/>
    </xf>
    <xf numFmtId="0" fontId="2" fillId="10" borderId="6" xfId="0" applyFont="1" applyFill="1" applyBorder="1" applyAlignment="1">
      <alignment horizontal="left" vertical="center" textRotation="90" wrapText="1"/>
    </xf>
    <xf numFmtId="0" fontId="2" fillId="10" borderId="16" xfId="0" applyFont="1" applyFill="1" applyBorder="1" applyAlignment="1">
      <alignment horizontal="left" vertical="center" textRotation="90" wrapText="1"/>
    </xf>
    <xf numFmtId="0" fontId="13" fillId="8" borderId="0" xfId="0" applyFont="1" applyFill="1" applyAlignment="1">
      <alignment horizontal="left" vertical="center" textRotation="90" wrapText="1"/>
    </xf>
    <xf numFmtId="0" fontId="2" fillId="9" borderId="16" xfId="0" applyFont="1" applyFill="1" applyBorder="1" applyAlignment="1">
      <alignment horizontal="left" vertical="center" textRotation="90" wrapText="1"/>
    </xf>
    <xf numFmtId="0" fontId="2" fillId="12" borderId="16" xfId="0" applyFont="1" applyFill="1" applyBorder="1" applyAlignment="1">
      <alignment horizontal="center" vertical="center" textRotation="90" wrapText="1"/>
    </xf>
    <xf numFmtId="0" fontId="2" fillId="25" borderId="16" xfId="0" applyFont="1" applyFill="1" applyBorder="1" applyAlignment="1">
      <alignment horizontal="center" vertical="center" textRotation="90" wrapText="1"/>
    </xf>
    <xf numFmtId="0" fontId="16" fillId="2" borderId="16" xfId="0" applyFont="1" applyFill="1" applyBorder="1" applyAlignment="1">
      <alignment horizontal="center" vertical="center" textRotation="90" wrapText="1"/>
    </xf>
    <xf numFmtId="0" fontId="2" fillId="2" borderId="16" xfId="0" applyFont="1" applyFill="1" applyBorder="1" applyAlignment="1">
      <alignment horizontal="center" vertical="center" textRotation="90" wrapText="1"/>
    </xf>
    <xf numFmtId="0" fontId="2" fillId="15" borderId="16" xfId="0" applyFont="1" applyFill="1" applyBorder="1" applyAlignment="1">
      <alignment horizontal="center" vertical="center" textRotation="90" wrapText="1"/>
    </xf>
    <xf numFmtId="0" fontId="17" fillId="7" borderId="11" xfId="0" applyFont="1" applyFill="1" applyBorder="1" applyAlignment="1">
      <alignment horizontal="center" vertical="center"/>
    </xf>
    <xf numFmtId="0" fontId="18" fillId="0" borderId="11" xfId="0" applyFont="1" applyBorder="1" applyAlignment="1">
      <alignment vertical="center" wrapText="1"/>
    </xf>
    <xf numFmtId="49" fontId="17" fillId="14" borderId="11" xfId="0" applyNumberFormat="1" applyFont="1" applyFill="1" applyBorder="1"/>
    <xf numFmtId="0" fontId="17" fillId="14" borderId="11" xfId="0" applyFont="1" applyFill="1" applyBorder="1"/>
    <xf numFmtId="14" fontId="17" fillId="14" borderId="11" xfId="0" applyNumberFormat="1" applyFont="1" applyFill="1" applyBorder="1"/>
    <xf numFmtId="0" fontId="17" fillId="0" borderId="11" xfId="0" applyFont="1" applyBorder="1"/>
    <xf numFmtId="0" fontId="3" fillId="8" borderId="11" xfId="0" applyFont="1" applyFill="1" applyBorder="1" applyAlignment="1">
      <alignment horizontal="left"/>
    </xf>
    <xf numFmtId="0" fontId="3" fillId="0" borderId="11" xfId="0" applyFont="1" applyBorder="1" applyAlignment="1">
      <alignment horizontal="center"/>
    </xf>
    <xf numFmtId="0" fontId="7" fillId="0" borderId="11" xfId="0" applyFont="1" applyBorder="1"/>
    <xf numFmtId="0" fontId="17" fillId="0" borderId="11" xfId="0" applyFont="1" applyBorder="1" applyAlignment="1">
      <alignment wrapText="1"/>
    </xf>
    <xf numFmtId="0" fontId="17" fillId="0" borderId="11" xfId="0" applyFont="1" applyBorder="1" applyAlignment="1">
      <alignment horizontal="center" wrapText="1"/>
    </xf>
    <xf numFmtId="14" fontId="17" fillId="14" borderId="11" xfId="0" applyNumberFormat="1" applyFont="1" applyFill="1" applyBorder="1" applyAlignment="1">
      <alignment wrapText="1"/>
    </xf>
    <xf numFmtId="0" fontId="17" fillId="7" borderId="11" xfId="0" applyFont="1" applyFill="1" applyBorder="1"/>
    <xf numFmtId="14" fontId="17" fillId="7" borderId="11" xfId="0" applyNumberFormat="1" applyFont="1" applyFill="1" applyBorder="1" applyAlignment="1">
      <alignment wrapText="1"/>
    </xf>
    <xf numFmtId="14" fontId="20" fillId="7" borderId="11" xfId="0" applyNumberFormat="1" applyFont="1" applyFill="1" applyBorder="1"/>
    <xf numFmtId="14" fontId="17" fillId="7" borderId="11" xfId="0" applyNumberFormat="1" applyFont="1" applyFill="1" applyBorder="1"/>
    <xf numFmtId="0" fontId="21" fillId="0" borderId="11" xfId="0" applyFont="1" applyBorder="1" applyAlignment="1">
      <alignment wrapText="1"/>
    </xf>
    <xf numFmtId="0" fontId="22" fillId="0" borderId="11" xfId="0" applyFont="1" applyBorder="1" applyAlignment="1">
      <alignment vertical="center" wrapText="1"/>
    </xf>
    <xf numFmtId="0" fontId="17" fillId="0" borderId="0" xfId="0" applyFont="1"/>
    <xf numFmtId="49" fontId="17" fillId="0" borderId="0" xfId="0" applyNumberFormat="1" applyFont="1"/>
    <xf numFmtId="0" fontId="17" fillId="0" borderId="0" xfId="0" applyFont="1" applyAlignment="1">
      <alignment horizontal="left"/>
    </xf>
    <xf numFmtId="0" fontId="17" fillId="17" borderId="11" xfId="0" applyFont="1" applyFill="1" applyBorder="1" applyAlignment="1"/>
    <xf numFmtId="49" fontId="17" fillId="17" borderId="11" xfId="0" applyNumberFormat="1" applyFont="1" applyFill="1" applyBorder="1" applyAlignment="1"/>
    <xf numFmtId="0" fontId="19" fillId="17" borderId="11" xfId="2" applyFont="1" applyFill="1" applyBorder="1" applyAlignment="1"/>
    <xf numFmtId="0" fontId="17" fillId="0" borderId="11" xfId="0" applyFont="1" applyBorder="1" applyAlignment="1"/>
    <xf numFmtId="49" fontId="17" fillId="0" borderId="11" xfId="0" applyNumberFormat="1" applyFont="1" applyBorder="1" applyAlignment="1"/>
    <xf numFmtId="0" fontId="19" fillId="0" borderId="11" xfId="2" applyFont="1" applyBorder="1" applyAlignment="1"/>
    <xf numFmtId="0" fontId="19" fillId="17" borderId="11" xfId="1" applyFont="1" applyFill="1" applyBorder="1" applyAlignment="1"/>
    <xf numFmtId="0" fontId="14" fillId="17" borderId="11" xfId="2" applyFill="1" applyBorder="1" applyAlignment="1"/>
    <xf numFmtId="0" fontId="14" fillId="0" borderId="11" xfId="2" applyBorder="1" applyAlignment="1"/>
    <xf numFmtId="0" fontId="15" fillId="30" borderId="13" xfId="0" applyFont="1" applyFill="1" applyBorder="1" applyAlignment="1">
      <alignment horizontal="center" vertical="center"/>
    </xf>
    <xf numFmtId="0" fontId="15" fillId="30" borderId="17" xfId="0" applyFont="1" applyFill="1" applyBorder="1" applyAlignment="1">
      <alignment horizontal="center" vertical="center"/>
    </xf>
    <xf numFmtId="0" fontId="15" fillId="30" borderId="18" xfId="0" applyFont="1" applyFill="1" applyBorder="1" applyAlignment="1">
      <alignment horizontal="center" vertical="center"/>
    </xf>
    <xf numFmtId="0" fontId="10" fillId="8" borderId="2"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12" fillId="6" borderId="0" xfId="0" applyFont="1" applyFill="1" applyAlignment="1">
      <alignment horizontal="center" vertical="center"/>
    </xf>
    <xf numFmtId="0" fontId="12" fillId="6" borderId="1" xfId="0" applyFont="1" applyFill="1" applyBorder="1" applyAlignment="1">
      <alignment horizontal="center" vertical="center"/>
    </xf>
    <xf numFmtId="0" fontId="9" fillId="11" borderId="0" xfId="0" applyFont="1" applyFill="1" applyAlignment="1">
      <alignment horizontal="center" vertical="center"/>
    </xf>
    <xf numFmtId="0" fontId="9" fillId="11" borderId="4" xfId="0" applyFont="1" applyFill="1" applyBorder="1" applyAlignment="1">
      <alignment horizontal="center" vertical="center"/>
    </xf>
    <xf numFmtId="0" fontId="9" fillId="11" borderId="1" xfId="0" applyFont="1" applyFill="1" applyBorder="1" applyAlignment="1">
      <alignment horizontal="center" vertical="center"/>
    </xf>
    <xf numFmtId="0" fontId="9" fillId="11" borderId="5" xfId="0" applyFont="1" applyFill="1" applyBorder="1" applyAlignment="1">
      <alignment horizontal="center" vertical="center"/>
    </xf>
    <xf numFmtId="0" fontId="9" fillId="11" borderId="7" xfId="0" applyFont="1" applyFill="1" applyBorder="1" applyAlignment="1">
      <alignment horizontal="center" vertical="center"/>
    </xf>
    <xf numFmtId="0" fontId="9" fillId="11" borderId="0"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21"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0"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6" fillId="3" borderId="16"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16" borderId="16" xfId="0" applyFont="1" applyFill="1" applyBorder="1" applyAlignment="1">
      <alignment horizontal="center" vertical="center"/>
    </xf>
    <xf numFmtId="0" fontId="6" fillId="16" borderId="22" xfId="0" applyFont="1" applyFill="1" applyBorder="1" applyAlignment="1">
      <alignment horizontal="center" vertical="center"/>
    </xf>
    <xf numFmtId="0" fontId="6" fillId="16" borderId="23" xfId="0" applyFont="1" applyFill="1" applyBorder="1" applyAlignment="1">
      <alignment horizontal="center" vertical="center"/>
    </xf>
    <xf numFmtId="0" fontId="1" fillId="8" borderId="2" xfId="0" applyFont="1" applyFill="1" applyBorder="1" applyAlignment="1">
      <alignment horizontal="center" vertical="center" textRotation="90" wrapText="1"/>
    </xf>
    <xf numFmtId="0" fontId="6" fillId="16" borderId="2" xfId="0" applyFont="1" applyFill="1" applyBorder="1" applyAlignment="1">
      <alignment horizontal="center" vertical="center" wrapText="1"/>
    </xf>
    <xf numFmtId="0" fontId="6" fillId="16"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1" borderId="16" xfId="0" applyFont="1" applyFill="1" applyBorder="1" applyAlignment="1">
      <alignment horizontal="center" vertical="center" wrapText="1"/>
    </xf>
    <xf numFmtId="0" fontId="6" fillId="31" borderId="22" xfId="0" applyFont="1" applyFill="1" applyBorder="1" applyAlignment="1">
      <alignment horizontal="center" vertical="center" wrapText="1"/>
    </xf>
    <xf numFmtId="0" fontId="6" fillId="31" borderId="23"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5" fillId="11" borderId="2" xfId="0" applyFont="1" applyFill="1" applyBorder="1" applyAlignment="1">
      <alignment horizontal="center" vertical="center"/>
    </xf>
    <xf numFmtId="0" fontId="5" fillId="21" borderId="2" xfId="0" applyFont="1" applyFill="1" applyBorder="1" applyAlignment="1">
      <alignment horizontal="center"/>
    </xf>
    <xf numFmtId="0" fontId="5" fillId="23" borderId="2" xfId="0" applyFont="1" applyFill="1" applyBorder="1" applyAlignment="1">
      <alignment horizontal="center" wrapText="1"/>
    </xf>
    <xf numFmtId="0" fontId="5" fillId="24" borderId="2" xfId="0" applyFont="1" applyFill="1" applyBorder="1" applyAlignment="1">
      <alignment horizontal="center"/>
    </xf>
  </cellXfs>
  <cellStyles count="3">
    <cellStyle name="Hipervínculo" xfId="2" builtinId="8"/>
    <cellStyle name="Hyperlink" xfId="1"/>
    <cellStyle name="Normal" xfId="0" builtinId="0"/>
  </cellStyles>
  <dxfs count="3">
    <dxf>
      <fill>
        <patternFill>
          <bgColor rgb="FFFF6699"/>
        </patternFill>
      </fill>
    </dxf>
    <dxf>
      <fill>
        <patternFill>
          <bgColor rgb="FFFFC285"/>
        </patternFill>
      </fill>
    </dxf>
    <dxf>
      <fill>
        <patternFill>
          <bgColor rgb="FFC7F268"/>
        </patternFill>
      </fill>
    </dxf>
  </dxfs>
  <tableStyles count="0" defaultTableStyle="TableStyleMedium2" defaultPivotStyle="PivotStyleLight16"/>
  <colors>
    <mruColors>
      <color rgb="FFC496DE"/>
      <color rgb="FFFFB553"/>
      <color rgb="FFBDDC02"/>
      <color rgb="FFD5FA60"/>
      <color rgb="FFEF5786"/>
      <color rgb="FFFF6699"/>
      <color rgb="FFCCFFFF"/>
      <color rgb="FFC7F268"/>
      <color rgb="FFFFC28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sng" strike="noStrike" kern="1200" spc="0" baseline="0">
                <a:solidFill>
                  <a:srgbClr val="FF0000"/>
                </a:solidFill>
                <a:latin typeface="+mn-lt"/>
                <a:ea typeface="+mn-ea"/>
                <a:cs typeface="+mn-cs"/>
              </a:defRPr>
            </a:pPr>
            <a:r>
              <a:rPr lang="es-PE" sz="2800" b="0" i="0" u="sng">
                <a:solidFill>
                  <a:schemeClr val="accent6">
                    <a:lumMod val="75000"/>
                  </a:schemeClr>
                </a:solidFill>
              </a:rPr>
              <a:t>IIEE POR NIVELES</a:t>
            </a:r>
          </a:p>
        </c:rich>
      </c:tx>
      <c:layout/>
      <c:overlay val="0"/>
      <c:spPr>
        <a:noFill/>
        <a:ln>
          <a:noFill/>
        </a:ln>
        <a:effectLst/>
      </c:spPr>
      <c:txPr>
        <a:bodyPr rot="0" spcFirstLastPara="1" vertOverflow="ellipsis" vert="horz" wrap="square" anchor="ctr" anchorCtr="1"/>
        <a:lstStyle/>
        <a:p>
          <a:pPr>
            <a:defRPr sz="2800" b="1" i="0" u="sng" strike="noStrike" kern="1200" spc="0" baseline="0">
              <a:solidFill>
                <a:srgbClr val="FF0000"/>
              </a:solidFill>
              <a:latin typeface="+mn-lt"/>
              <a:ea typeface="+mn-ea"/>
              <a:cs typeface="+mn-cs"/>
            </a:defRPr>
          </a:pPr>
          <a:endParaRPr lang="es-PE"/>
        </a:p>
      </c:txPr>
    </c:title>
    <c:autoTitleDeleted val="0"/>
    <c:plotArea>
      <c:layout>
        <c:manualLayout>
          <c:layoutTarget val="inner"/>
          <c:xMode val="edge"/>
          <c:yMode val="edge"/>
          <c:x val="0.29578499562554683"/>
          <c:y val="0.16245370370370371"/>
          <c:w val="0.40287467191601051"/>
          <c:h val="0.6714577865266842"/>
        </c:manualLayout>
      </c:layout>
      <c:doughnutChart>
        <c:varyColors val="1"/>
        <c:ser>
          <c:idx val="0"/>
          <c:order val="0"/>
          <c:dPt>
            <c:idx val="0"/>
            <c:bubble3D val="0"/>
            <c:spPr>
              <a:solidFill>
                <a:srgbClr val="EF5786"/>
              </a:solidFill>
              <a:ln w="19050">
                <a:solidFill>
                  <a:schemeClr val="lt1"/>
                </a:solidFill>
              </a:ln>
              <a:effectLst/>
            </c:spPr>
            <c:extLst>
              <c:ext xmlns:c16="http://schemas.microsoft.com/office/drawing/2014/chart" uri="{C3380CC4-5D6E-409C-BE32-E72D297353CC}">
                <c16:uniqueId val="{0000000B-7A09-43A9-980A-DAF0D1EF319D}"/>
              </c:ext>
            </c:extLst>
          </c:dPt>
          <c:dPt>
            <c:idx val="1"/>
            <c:bubble3D val="0"/>
            <c:spPr>
              <a:solidFill>
                <a:srgbClr val="FFB553"/>
              </a:solidFill>
              <a:ln w="19050">
                <a:solidFill>
                  <a:schemeClr val="lt1"/>
                </a:solidFill>
              </a:ln>
              <a:effectLst/>
            </c:spPr>
            <c:extLst>
              <c:ext xmlns:c16="http://schemas.microsoft.com/office/drawing/2014/chart" uri="{C3380CC4-5D6E-409C-BE32-E72D297353CC}">
                <c16:uniqueId val="{0000000D-7A09-43A9-980A-DAF0D1EF319D}"/>
              </c:ext>
            </c:extLst>
          </c:dPt>
          <c:dPt>
            <c:idx val="2"/>
            <c:bubble3D val="0"/>
            <c:spPr>
              <a:solidFill>
                <a:srgbClr val="BDDC02"/>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C-7A09-43A9-980A-DAF0D1EF31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'MODELO JEC'!$CB$6:$CB$8</c:f>
              <c:strCache>
                <c:ptCount val="3"/>
                <c:pt idx="0">
                  <c:v>IEE EN NIVEL INICIO</c:v>
                </c:pt>
                <c:pt idx="1">
                  <c:v>IEE EN NIVEL PROCESO</c:v>
                </c:pt>
                <c:pt idx="2">
                  <c:v>IEE EN NIVEL LOGRADO</c:v>
                </c:pt>
              </c:strCache>
            </c:strRef>
          </c:cat>
          <c:val>
            <c:numRef>
              <c:f>'MODELO JEC'!$CD$6:$CD$8</c:f>
              <c:numCache>
                <c:formatCode>0%</c:formatCode>
                <c:ptCount val="3"/>
                <c:pt idx="0">
                  <c:v>0</c:v>
                </c:pt>
                <c:pt idx="1">
                  <c:v>0.2413793103448276</c:v>
                </c:pt>
                <c:pt idx="2">
                  <c:v>0.75862068965517238</c:v>
                </c:pt>
              </c:numCache>
            </c:numRef>
          </c:val>
          <c:extLst>
            <c:ext xmlns:c16="http://schemas.microsoft.com/office/drawing/2014/chart" uri="{C3380CC4-5D6E-409C-BE32-E72D297353CC}">
              <c16:uniqueId val="{00000000-7A09-43A9-980A-DAF0D1EF319D}"/>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79</xdr:col>
      <xdr:colOff>225137</xdr:colOff>
      <xdr:row>8</xdr:row>
      <xdr:rowOff>274864</xdr:rowOff>
    </xdr:from>
    <xdr:to>
      <xdr:col>86</xdr:col>
      <xdr:colOff>380999</xdr:colOff>
      <xdr:row>22</xdr:row>
      <xdr:rowOff>40821</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katty.herrera@ilar.edu.pe" TargetMode="External"/><Relationship Id="rId18" Type="http://schemas.openxmlformats.org/officeDocument/2006/relationships/hyperlink" Target="mailto:huisa2525@gmail.com" TargetMode="External"/><Relationship Id="rId26" Type="http://schemas.openxmlformats.org/officeDocument/2006/relationships/hyperlink" Target="mailto:nelibetty13@gmail.com" TargetMode="External"/><Relationship Id="rId39" Type="http://schemas.openxmlformats.org/officeDocument/2006/relationships/hyperlink" Target="mailto:maria-loguerra.@gmail.com" TargetMode="External"/><Relationship Id="rId21" Type="http://schemas.openxmlformats.org/officeDocument/2006/relationships/hyperlink" Target="mailto:mmartinezalis7@gmail.com" TargetMode="External"/><Relationship Id="rId34" Type="http://schemas.openxmlformats.org/officeDocument/2006/relationships/hyperlink" Target="mailto:rosaleskettymary@gmail.com" TargetMode="External"/><Relationship Id="rId42" Type="http://schemas.openxmlformats.org/officeDocument/2006/relationships/hyperlink" Target="mailto:favicep@gmail.com" TargetMode="External"/><Relationship Id="rId47" Type="http://schemas.openxmlformats.org/officeDocument/2006/relationships/printerSettings" Target="../printerSettings/printerSettings1.bin"/><Relationship Id="rId7" Type="http://schemas.openxmlformats.org/officeDocument/2006/relationships/hyperlink" Target="mailto:colegioJPVYG@gmail.com" TargetMode="External"/><Relationship Id="rId2" Type="http://schemas.openxmlformats.org/officeDocument/2006/relationships/hyperlink" Target="mailto:lizandrog@gmail.com" TargetMode="External"/><Relationship Id="rId16" Type="http://schemas.openxmlformats.org/officeDocument/2006/relationships/hyperlink" Target="mailto:gloriamal2023@gmail.com" TargetMode="External"/><Relationship Id="rId29" Type="http://schemas.openxmlformats.org/officeDocument/2006/relationships/hyperlink" Target="mailto:d42167124o@perueduca.edu.pe" TargetMode="External"/><Relationship Id="rId1" Type="http://schemas.openxmlformats.org/officeDocument/2006/relationships/hyperlink" Target="mailto:mariasalazar033@gmail.com" TargetMode="External"/><Relationship Id="rId6" Type="http://schemas.openxmlformats.org/officeDocument/2006/relationships/hyperlink" Target="mailto:roluramos2020@gmail.com" TargetMode="External"/><Relationship Id="rId11" Type="http://schemas.openxmlformats.org/officeDocument/2006/relationships/hyperlink" Target="mailto:david.villegasrojas608@gmail.com" TargetMode="External"/><Relationship Id="rId24" Type="http://schemas.openxmlformats.org/officeDocument/2006/relationships/hyperlink" Target="mailto:amme.leandro20@gmail.com" TargetMode="External"/><Relationship Id="rId32" Type="http://schemas.openxmlformats.org/officeDocument/2006/relationships/hyperlink" Target="mailto:jcaparacanareinoso@gmail.com" TargetMode="External"/><Relationship Id="rId37" Type="http://schemas.openxmlformats.org/officeDocument/2006/relationships/hyperlink" Target="mailto:pachasmaria.17@gmail.com" TargetMode="External"/><Relationship Id="rId40" Type="http://schemas.openxmlformats.org/officeDocument/2006/relationships/hyperlink" Target="mailto:ruthlino2016@gmail.com" TargetMode="External"/><Relationship Id="rId45" Type="http://schemas.openxmlformats.org/officeDocument/2006/relationships/hyperlink" Target="mailto:iebhega@gmail.com" TargetMode="External"/><Relationship Id="rId5" Type="http://schemas.openxmlformats.org/officeDocument/2006/relationships/hyperlink" Target="mailto:maria_anicama@ugel03.gob.pe" TargetMode="External"/><Relationship Id="rId15" Type="http://schemas.openxmlformats.org/officeDocument/2006/relationships/hyperlink" Target="mailto:jarukey@hotmail.com" TargetMode="External"/><Relationship Id="rId23" Type="http://schemas.openxmlformats.org/officeDocument/2006/relationships/hyperlink" Target="mailto:jaquije@ierosaperezliendo.edu.pe" TargetMode="External"/><Relationship Id="rId28" Type="http://schemas.openxmlformats.org/officeDocument/2006/relationships/hyperlink" Target="mailto:ebr.pge@ugel03.edu.pe" TargetMode="External"/><Relationship Id="rId36" Type="http://schemas.openxmlformats.org/officeDocument/2006/relationships/hyperlink" Target="mailto:carlosramostrejo@iensc.net" TargetMode="External"/><Relationship Id="rId10" Type="http://schemas.openxmlformats.org/officeDocument/2006/relationships/hyperlink" Target="mailto:anacaminocal@gmail.com" TargetMode="External"/><Relationship Id="rId19" Type="http://schemas.openxmlformats.org/officeDocument/2006/relationships/hyperlink" Target="mailto:javpevloz@hotmail.es" TargetMode="External"/><Relationship Id="rId31" Type="http://schemas.openxmlformats.org/officeDocument/2006/relationships/hyperlink" Target="mailto:eanr510@gmail.com" TargetMode="External"/><Relationship Id="rId44" Type="http://schemas.openxmlformats.org/officeDocument/2006/relationships/hyperlink" Target="mailto:zoila.docente27@gmail.com" TargetMode="External"/><Relationship Id="rId4" Type="http://schemas.openxmlformats.org/officeDocument/2006/relationships/hyperlink" Target="mailto:maly444466@gmail.com" TargetMode="External"/><Relationship Id="rId9" Type="http://schemas.openxmlformats.org/officeDocument/2006/relationships/hyperlink" Target="mailto:jsalvadorgloria@gmail.com" TargetMode="External"/><Relationship Id="rId14" Type="http://schemas.openxmlformats.org/officeDocument/2006/relationships/hyperlink" Target="mailto:ggarciaamelia1@gmail.com" TargetMode="External"/><Relationship Id="rId22" Type="http://schemas.openxmlformats.org/officeDocument/2006/relationships/hyperlink" Target="mailto:emu&#241;oz@ierosaperezliendo.edu.pe" TargetMode="External"/><Relationship Id="rId27" Type="http://schemas.openxmlformats.org/officeDocument/2006/relationships/hyperlink" Target="mailto:marchi5@hotmail.com" TargetMode="External"/><Relationship Id="rId30" Type="http://schemas.openxmlformats.org/officeDocument/2006/relationships/hyperlink" Target="mailto:csoral13@gmail.com" TargetMode="External"/><Relationship Id="rId35" Type="http://schemas.openxmlformats.org/officeDocument/2006/relationships/hyperlink" Target="mailto:janetvillanueva141072@gmail.com" TargetMode="External"/><Relationship Id="rId43" Type="http://schemas.openxmlformats.org/officeDocument/2006/relationships/hyperlink" Target="mailto:virginiaareche@cepma.edu.pe" TargetMode="External"/><Relationship Id="rId48" Type="http://schemas.openxmlformats.org/officeDocument/2006/relationships/drawing" Target="../drawings/drawing1.xml"/><Relationship Id="rId8" Type="http://schemas.openxmlformats.org/officeDocument/2006/relationships/hyperlink" Target="mailto:marlenefigueroahuaman@gmail.com" TargetMode="External"/><Relationship Id="rId3" Type="http://schemas.openxmlformats.org/officeDocument/2006/relationships/hyperlink" Target="mailto:jaime.lauroc@gmail.com" TargetMode="External"/><Relationship Id="rId12" Type="http://schemas.openxmlformats.org/officeDocument/2006/relationships/hyperlink" Target="mailto:maitem1104@gmail.com" TargetMode="External"/><Relationship Id="rId17" Type="http://schemas.openxmlformats.org/officeDocument/2006/relationships/hyperlink" Target="mailto:edolis@julioctello.edu.pe" TargetMode="External"/><Relationship Id="rId25" Type="http://schemas.openxmlformats.org/officeDocument/2006/relationships/hyperlink" Target="mailto:manco1307@hotmail.com" TargetMode="External"/><Relationship Id="rId33" Type="http://schemas.openxmlformats.org/officeDocument/2006/relationships/hyperlink" Target="mailto:carysagonzales@gmail.com" TargetMode="External"/><Relationship Id="rId38" Type="http://schemas.openxmlformats.org/officeDocument/2006/relationships/hyperlink" Target="mailto:__@ieemiguelgrau.ed.pe" TargetMode="External"/><Relationship Id="rId46" Type="http://schemas.openxmlformats.org/officeDocument/2006/relationships/hyperlink" Target="mailto:hlopezr@tgfefaning.edu.pe" TargetMode="External"/><Relationship Id="rId20" Type="http://schemas.openxmlformats.org/officeDocument/2006/relationships/hyperlink" Target="mailto:oregomezmaritza4619@gmail.com" TargetMode="External"/><Relationship Id="rId41" Type="http://schemas.openxmlformats.org/officeDocument/2006/relationships/hyperlink" Target="mailto:consesm@yahoo.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CD50"/>
  <sheetViews>
    <sheetView tabSelected="1" topLeftCell="BN1" zoomScale="70" zoomScaleNormal="70" workbookViewId="0">
      <pane ySplit="3" topLeftCell="A4" activePane="bottomLeft" state="frozen"/>
      <selection pane="bottomLeft" activeCell="BT32" sqref="BT32"/>
    </sheetView>
  </sheetViews>
  <sheetFormatPr baseColWidth="10" defaultColWidth="11.42578125" defaultRowHeight="15" x14ac:dyDescent="0.25"/>
  <cols>
    <col min="1" max="1" width="5.5703125" customWidth="1"/>
    <col min="2" max="2" width="32.42578125" customWidth="1"/>
    <col min="3" max="3" width="16" customWidth="1"/>
    <col min="4" max="4" width="6.42578125" style="50" bestFit="1" customWidth="1"/>
    <col min="5" max="5" width="8.5703125" customWidth="1"/>
    <col min="6" max="6" width="12.42578125" bestFit="1" customWidth="1"/>
    <col min="7" max="12" width="6.7109375" customWidth="1"/>
    <col min="13" max="13" width="29.85546875" customWidth="1"/>
    <col min="14" max="14" width="11.7109375" style="50" bestFit="1" customWidth="1"/>
    <col min="15" max="15" width="12" bestFit="1" customWidth="1"/>
    <col min="16" max="16" width="12.140625" bestFit="1" customWidth="1"/>
    <col min="17" max="18" width="26.7109375" customWidth="1"/>
    <col min="19" max="19" width="11.28515625" style="50" customWidth="1"/>
    <col min="20" max="20" width="12.42578125" bestFit="1" customWidth="1"/>
    <col min="21" max="21" width="10.5703125" bestFit="1" customWidth="1"/>
    <col min="22" max="22" width="18.140625" customWidth="1"/>
    <col min="23" max="23" width="7" style="1" customWidth="1"/>
    <col min="24" max="24" width="5.7109375" style="1" bestFit="1" customWidth="1"/>
    <col min="25" max="25" width="12.7109375" style="1" bestFit="1" customWidth="1"/>
    <col min="26" max="27" width="10.5703125" style="1" bestFit="1" customWidth="1"/>
    <col min="28" max="28" width="8.140625" style="1" bestFit="1" customWidth="1"/>
    <col min="29" max="29" width="13" style="1" bestFit="1" customWidth="1"/>
    <col min="30" max="30" width="11.140625" style="61" bestFit="1" customWidth="1"/>
    <col min="31" max="31" width="14.140625" customWidth="1"/>
    <col min="32" max="34" width="13" bestFit="1" customWidth="1"/>
    <col min="35" max="35" width="8.85546875" customWidth="1"/>
    <col min="36" max="36" width="8.42578125" customWidth="1"/>
    <col min="37" max="37" width="10.28515625" customWidth="1"/>
    <col min="38" max="38" width="11.85546875" customWidth="1"/>
    <col min="39" max="39" width="10.7109375" customWidth="1"/>
    <col min="40" max="40" width="8.28515625" customWidth="1"/>
    <col min="41" max="41" width="10.5703125" style="52" customWidth="1"/>
    <col min="42" max="42" width="9.28515625" customWidth="1"/>
    <col min="43" max="43" width="22.140625" bestFit="1" customWidth="1"/>
    <col min="44" max="44" width="16" customWidth="1"/>
    <col min="45" max="45" width="8.5703125" customWidth="1"/>
    <col min="46" max="46" width="15.42578125" bestFit="1" customWidth="1"/>
    <col min="47" max="47" width="13" bestFit="1" customWidth="1"/>
    <col min="48" max="48" width="17.85546875" bestFit="1" customWidth="1"/>
    <col min="49" max="49" width="15" bestFit="1" customWidth="1"/>
    <col min="50" max="50" width="17.42578125" bestFit="1" customWidth="1"/>
    <col min="51" max="51" width="13.7109375" customWidth="1"/>
    <col min="52" max="52" width="12.5703125" customWidth="1"/>
    <col min="53" max="53" width="13" bestFit="1" customWidth="1"/>
    <col min="54" max="54" width="10.5703125" style="55" customWidth="1"/>
    <col min="55" max="55" width="14.42578125" customWidth="1"/>
    <col min="56" max="56" width="9.5703125" customWidth="1"/>
    <col min="57" max="57" width="9.85546875" customWidth="1"/>
    <col min="58" max="58" width="14.42578125" customWidth="1"/>
    <col min="59" max="59" width="16.7109375" customWidth="1"/>
    <col min="60" max="60" width="9" customWidth="1"/>
    <col min="61" max="62" width="10.5703125" customWidth="1"/>
    <col min="63" max="63" width="11" style="55" customWidth="1"/>
    <col min="64" max="67" width="10.85546875" customWidth="1"/>
    <col min="68" max="68" width="16.7109375" customWidth="1"/>
    <col min="69" max="69" width="10.85546875" customWidth="1"/>
    <col min="70" max="70" width="9.42578125" customWidth="1"/>
    <col min="71" max="71" width="9.42578125" style="52" customWidth="1"/>
    <col min="72" max="72" width="44.5703125" customWidth="1"/>
    <col min="73" max="73" width="44.28515625" customWidth="1"/>
    <col min="74" max="74" width="24.85546875" customWidth="1"/>
    <col min="75" max="75" width="26" customWidth="1"/>
    <col min="80" max="80" width="28.85546875" bestFit="1" customWidth="1"/>
  </cols>
  <sheetData>
    <row r="1" spans="1:82" s="20" customFormat="1" ht="30" customHeight="1" x14ac:dyDescent="0.25">
      <c r="A1" s="116" t="s">
        <v>0</v>
      </c>
      <c r="B1" s="116"/>
      <c r="C1" s="116"/>
      <c r="D1" s="116"/>
      <c r="E1" s="116"/>
      <c r="F1" s="116"/>
      <c r="G1" s="116"/>
      <c r="H1" s="116"/>
      <c r="I1" s="116"/>
      <c r="J1" s="116"/>
      <c r="K1" s="116"/>
      <c r="L1" s="116"/>
      <c r="M1" s="118" t="s">
        <v>1</v>
      </c>
      <c r="N1" s="118"/>
      <c r="O1" s="118"/>
      <c r="P1" s="118"/>
      <c r="Q1" s="119"/>
      <c r="R1" s="122" t="s">
        <v>85</v>
      </c>
      <c r="S1" s="123"/>
      <c r="T1" s="123"/>
      <c r="U1" s="123"/>
      <c r="V1" s="119"/>
      <c r="W1" s="142" t="s">
        <v>2</v>
      </c>
      <c r="X1" s="142"/>
      <c r="Y1" s="142"/>
      <c r="Z1" s="142"/>
      <c r="AA1" s="142"/>
      <c r="AB1" s="142"/>
      <c r="AC1" s="142"/>
      <c r="AD1" s="62"/>
      <c r="AE1" s="143" t="s">
        <v>98</v>
      </c>
      <c r="AF1" s="143"/>
      <c r="AG1" s="143"/>
      <c r="AH1" s="143"/>
      <c r="AI1" s="143"/>
      <c r="AJ1" s="143"/>
      <c r="AK1" s="143"/>
      <c r="AL1" s="143"/>
      <c r="AM1" s="143"/>
      <c r="AN1" s="143"/>
      <c r="AO1" s="149" t="s">
        <v>172</v>
      </c>
      <c r="AP1" s="144" t="s">
        <v>99</v>
      </c>
      <c r="AQ1" s="144"/>
      <c r="AR1" s="144"/>
      <c r="AS1" s="144"/>
      <c r="AT1" s="144"/>
      <c r="AU1" s="144"/>
      <c r="AV1" s="144"/>
      <c r="AW1" s="144"/>
      <c r="AX1" s="144"/>
      <c r="AY1" s="144"/>
      <c r="AZ1" s="144"/>
      <c r="BA1" s="144"/>
      <c r="BB1" s="146" t="s">
        <v>172</v>
      </c>
      <c r="BC1" s="145" t="s">
        <v>112</v>
      </c>
      <c r="BD1" s="145"/>
      <c r="BE1" s="145"/>
      <c r="BF1" s="145"/>
      <c r="BG1" s="145"/>
      <c r="BH1" s="145"/>
      <c r="BI1" s="145"/>
      <c r="BJ1" s="145"/>
      <c r="BK1" s="133" t="s">
        <v>172</v>
      </c>
      <c r="BL1" s="140" t="s">
        <v>121</v>
      </c>
      <c r="BM1" s="141"/>
      <c r="BN1" s="141"/>
      <c r="BO1" s="141"/>
      <c r="BP1" s="141"/>
      <c r="BQ1" s="141"/>
      <c r="BR1" s="141"/>
      <c r="BS1" s="136" t="s">
        <v>172</v>
      </c>
      <c r="BT1" s="112" t="s">
        <v>3</v>
      </c>
      <c r="BU1" s="112" t="s">
        <v>4</v>
      </c>
      <c r="BV1" s="112" t="s">
        <v>5</v>
      </c>
      <c r="BW1" s="114" t="s">
        <v>6</v>
      </c>
    </row>
    <row r="2" spans="1:82" ht="20.25" customHeight="1" x14ac:dyDescent="0.25">
      <c r="A2" s="117"/>
      <c r="B2" s="117"/>
      <c r="C2" s="117"/>
      <c r="D2" s="117"/>
      <c r="E2" s="117"/>
      <c r="F2" s="117"/>
      <c r="G2" s="117"/>
      <c r="H2" s="117"/>
      <c r="I2" s="117"/>
      <c r="J2" s="117"/>
      <c r="K2" s="117"/>
      <c r="L2" s="117"/>
      <c r="M2" s="120"/>
      <c r="N2" s="120"/>
      <c r="O2" s="120"/>
      <c r="P2" s="120"/>
      <c r="Q2" s="121"/>
      <c r="R2" s="122"/>
      <c r="S2" s="123"/>
      <c r="T2" s="123"/>
      <c r="U2" s="123"/>
      <c r="V2" s="123"/>
      <c r="W2" s="63" t="s">
        <v>7</v>
      </c>
      <c r="X2" s="64" t="s">
        <v>8</v>
      </c>
      <c r="Y2" s="64" t="s">
        <v>9</v>
      </c>
      <c r="Z2" s="64" t="s">
        <v>10</v>
      </c>
      <c r="AA2" s="64" t="s">
        <v>11</v>
      </c>
      <c r="AB2" s="64" t="s">
        <v>12</v>
      </c>
      <c r="AC2" s="64" t="s">
        <v>13</v>
      </c>
      <c r="AD2" s="65"/>
      <c r="AE2" s="66" t="s">
        <v>7</v>
      </c>
      <c r="AF2" s="66" t="s">
        <v>8</v>
      </c>
      <c r="AG2" s="66" t="s">
        <v>9</v>
      </c>
      <c r="AH2" s="66" t="s">
        <v>10</v>
      </c>
      <c r="AI2" s="66" t="s">
        <v>11</v>
      </c>
      <c r="AJ2" s="66" t="s">
        <v>12</v>
      </c>
      <c r="AK2" s="66" t="s">
        <v>13</v>
      </c>
      <c r="AL2" s="66" t="s">
        <v>14</v>
      </c>
      <c r="AM2" s="66" t="s">
        <v>15</v>
      </c>
      <c r="AN2" s="66" t="s">
        <v>16</v>
      </c>
      <c r="AO2" s="150"/>
      <c r="AP2" s="67">
        <v>11</v>
      </c>
      <c r="AQ2" s="67">
        <v>12</v>
      </c>
      <c r="AR2" s="67">
        <v>13</v>
      </c>
      <c r="AS2" s="67">
        <v>14</v>
      </c>
      <c r="AT2" s="67">
        <v>15</v>
      </c>
      <c r="AU2" s="67">
        <v>16</v>
      </c>
      <c r="AV2" s="67">
        <v>17</v>
      </c>
      <c r="AW2" s="67">
        <v>18</v>
      </c>
      <c r="AX2" s="67">
        <v>19</v>
      </c>
      <c r="AY2" s="67">
        <v>20</v>
      </c>
      <c r="AZ2" s="67">
        <v>21</v>
      </c>
      <c r="BA2" s="67">
        <v>22</v>
      </c>
      <c r="BB2" s="147"/>
      <c r="BC2" s="68">
        <v>23</v>
      </c>
      <c r="BD2" s="68">
        <v>24</v>
      </c>
      <c r="BE2" s="68">
        <v>25</v>
      </c>
      <c r="BF2" s="68">
        <v>26</v>
      </c>
      <c r="BG2" s="68">
        <v>27</v>
      </c>
      <c r="BH2" s="68">
        <v>28</v>
      </c>
      <c r="BI2" s="68">
        <v>29</v>
      </c>
      <c r="BJ2" s="68">
        <v>30</v>
      </c>
      <c r="BK2" s="134"/>
      <c r="BL2" s="69">
        <v>31</v>
      </c>
      <c r="BM2" s="69">
        <v>32</v>
      </c>
      <c r="BN2" s="69">
        <v>33</v>
      </c>
      <c r="BO2" s="69">
        <v>34</v>
      </c>
      <c r="BP2" s="69">
        <v>35</v>
      </c>
      <c r="BQ2" s="69">
        <v>36</v>
      </c>
      <c r="BR2" s="69">
        <v>37</v>
      </c>
      <c r="BS2" s="137"/>
      <c r="BT2" s="112"/>
      <c r="BU2" s="112"/>
      <c r="BV2" s="112"/>
      <c r="BW2" s="114"/>
    </row>
    <row r="3" spans="1:82" ht="177.75" customHeight="1" x14ac:dyDescent="0.25">
      <c r="A3" s="25" t="s">
        <v>18</v>
      </c>
      <c r="B3" s="26" t="s">
        <v>19</v>
      </c>
      <c r="C3" s="27" t="s">
        <v>20</v>
      </c>
      <c r="D3" s="51" t="s">
        <v>83</v>
      </c>
      <c r="E3" s="27" t="s">
        <v>21</v>
      </c>
      <c r="F3" s="27" t="s">
        <v>22</v>
      </c>
      <c r="G3" s="25" t="s">
        <v>23</v>
      </c>
      <c r="H3" s="25" t="s">
        <v>24</v>
      </c>
      <c r="I3" s="25" t="s">
        <v>25</v>
      </c>
      <c r="J3" s="25" t="s">
        <v>84</v>
      </c>
      <c r="K3" s="25" t="s">
        <v>142</v>
      </c>
      <c r="L3" s="25" t="s">
        <v>143</v>
      </c>
      <c r="M3" s="28" t="s">
        <v>26</v>
      </c>
      <c r="N3" s="49" t="s">
        <v>27</v>
      </c>
      <c r="O3" s="28" t="s">
        <v>28</v>
      </c>
      <c r="P3" s="28" t="s">
        <v>29</v>
      </c>
      <c r="Q3" s="29" t="s">
        <v>30</v>
      </c>
      <c r="R3" s="28" t="s">
        <v>26</v>
      </c>
      <c r="S3" s="49" t="s">
        <v>27</v>
      </c>
      <c r="T3" s="28" t="s">
        <v>28</v>
      </c>
      <c r="U3" s="28" t="s">
        <v>29</v>
      </c>
      <c r="V3" s="29" t="s">
        <v>30</v>
      </c>
      <c r="W3" s="70" t="s">
        <v>86</v>
      </c>
      <c r="X3" s="71" t="s">
        <v>31</v>
      </c>
      <c r="Y3" s="71" t="s">
        <v>87</v>
      </c>
      <c r="Z3" s="71" t="s">
        <v>88</v>
      </c>
      <c r="AA3" s="71" t="s">
        <v>89</v>
      </c>
      <c r="AB3" s="71" t="s">
        <v>35</v>
      </c>
      <c r="AC3" s="71" t="s">
        <v>34</v>
      </c>
      <c r="AD3" s="72"/>
      <c r="AE3" s="73" t="s">
        <v>90</v>
      </c>
      <c r="AF3" s="73" t="s">
        <v>91</v>
      </c>
      <c r="AG3" s="73" t="s">
        <v>92</v>
      </c>
      <c r="AH3" s="73" t="s">
        <v>32</v>
      </c>
      <c r="AI3" s="73" t="s">
        <v>33</v>
      </c>
      <c r="AJ3" s="73" t="s">
        <v>93</v>
      </c>
      <c r="AK3" s="73" t="s">
        <v>94</v>
      </c>
      <c r="AL3" s="73" t="s">
        <v>95</v>
      </c>
      <c r="AM3" s="73" t="s">
        <v>96</v>
      </c>
      <c r="AN3" s="73" t="s">
        <v>97</v>
      </c>
      <c r="AO3" s="151"/>
      <c r="AP3" s="74" t="s">
        <v>100</v>
      </c>
      <c r="AQ3" s="74" t="s">
        <v>101</v>
      </c>
      <c r="AR3" s="74" t="s">
        <v>102</v>
      </c>
      <c r="AS3" s="74" t="s">
        <v>103</v>
      </c>
      <c r="AT3" s="74" t="s">
        <v>104</v>
      </c>
      <c r="AU3" s="74" t="s">
        <v>105</v>
      </c>
      <c r="AV3" s="74" t="s">
        <v>106</v>
      </c>
      <c r="AW3" s="74" t="s">
        <v>107</v>
      </c>
      <c r="AX3" s="74" t="s">
        <v>108</v>
      </c>
      <c r="AY3" s="74" t="s">
        <v>109</v>
      </c>
      <c r="AZ3" s="75" t="s">
        <v>110</v>
      </c>
      <c r="BA3" s="74" t="s">
        <v>111</v>
      </c>
      <c r="BB3" s="148"/>
      <c r="BC3" s="76" t="s">
        <v>113</v>
      </c>
      <c r="BD3" s="76" t="s">
        <v>114</v>
      </c>
      <c r="BE3" s="76" t="s">
        <v>115</v>
      </c>
      <c r="BF3" s="76" t="s">
        <v>116</v>
      </c>
      <c r="BG3" s="77" t="s">
        <v>117</v>
      </c>
      <c r="BH3" s="77" t="s">
        <v>118</v>
      </c>
      <c r="BI3" s="77" t="s">
        <v>119</v>
      </c>
      <c r="BJ3" s="77" t="s">
        <v>120</v>
      </c>
      <c r="BK3" s="135"/>
      <c r="BL3" s="78" t="s">
        <v>122</v>
      </c>
      <c r="BM3" s="78" t="s">
        <v>123</v>
      </c>
      <c r="BN3" s="78" t="s">
        <v>124</v>
      </c>
      <c r="BO3" s="78" t="s">
        <v>125</v>
      </c>
      <c r="BP3" s="78" t="s">
        <v>126</v>
      </c>
      <c r="BQ3" s="78" t="s">
        <v>127</v>
      </c>
      <c r="BR3" s="78" t="s">
        <v>128</v>
      </c>
      <c r="BS3" s="138"/>
      <c r="BT3" s="113"/>
      <c r="BU3" s="113"/>
      <c r="BV3" s="113"/>
      <c r="BW3" s="115"/>
    </row>
    <row r="4" spans="1:82" ht="23.25" customHeight="1" x14ac:dyDescent="0.25">
      <c r="A4" s="79">
        <v>1</v>
      </c>
      <c r="B4" s="80" t="s">
        <v>130</v>
      </c>
      <c r="C4" s="81" t="s">
        <v>131</v>
      </c>
      <c r="D4" s="81" t="s">
        <v>132</v>
      </c>
      <c r="E4" s="82">
        <v>9</v>
      </c>
      <c r="F4" s="83">
        <v>46140</v>
      </c>
      <c r="G4" s="82">
        <v>11</v>
      </c>
      <c r="H4" s="82">
        <v>304</v>
      </c>
      <c r="I4" s="82">
        <v>24</v>
      </c>
      <c r="J4" s="82" t="s">
        <v>37</v>
      </c>
      <c r="K4" s="82">
        <v>2</v>
      </c>
      <c r="L4" s="82">
        <v>1</v>
      </c>
      <c r="M4" s="100" t="s">
        <v>133</v>
      </c>
      <c r="N4" s="101" t="s">
        <v>154</v>
      </c>
      <c r="O4" s="100">
        <v>933815039</v>
      </c>
      <c r="P4" s="100" t="s">
        <v>134</v>
      </c>
      <c r="Q4" s="102" t="s">
        <v>135</v>
      </c>
      <c r="R4" s="103" t="s">
        <v>136</v>
      </c>
      <c r="S4" s="104" t="s">
        <v>137</v>
      </c>
      <c r="T4" s="103">
        <v>945135980</v>
      </c>
      <c r="U4" s="103" t="s">
        <v>134</v>
      </c>
      <c r="V4" s="105" t="s">
        <v>138</v>
      </c>
      <c r="W4" s="34" t="s">
        <v>36</v>
      </c>
      <c r="X4" s="34" t="s">
        <v>37</v>
      </c>
      <c r="Y4" s="34" t="s">
        <v>37</v>
      </c>
      <c r="Z4" s="34"/>
      <c r="AA4" s="34" t="s">
        <v>36</v>
      </c>
      <c r="AB4" s="34" t="s">
        <v>36</v>
      </c>
      <c r="AC4" s="34" t="s">
        <v>36</v>
      </c>
      <c r="AD4" s="85"/>
      <c r="AE4" s="35">
        <v>3</v>
      </c>
      <c r="AF4" s="35">
        <v>3</v>
      </c>
      <c r="AG4" s="35">
        <v>1</v>
      </c>
      <c r="AH4" s="35">
        <v>3</v>
      </c>
      <c r="AI4" s="35">
        <v>3</v>
      </c>
      <c r="AJ4" s="35">
        <v>3</v>
      </c>
      <c r="AK4" s="35">
        <v>3</v>
      </c>
      <c r="AL4" s="35">
        <v>3</v>
      </c>
      <c r="AM4" s="35">
        <v>2</v>
      </c>
      <c r="AN4" s="35">
        <v>3</v>
      </c>
      <c r="AO4" s="38">
        <f>SUM(AE4:AN4)</f>
        <v>27</v>
      </c>
      <c r="AP4" s="35">
        <v>3</v>
      </c>
      <c r="AQ4" s="35">
        <v>1</v>
      </c>
      <c r="AR4" s="35">
        <v>3</v>
      </c>
      <c r="AS4" s="35">
        <v>3</v>
      </c>
      <c r="AT4" s="35">
        <v>2</v>
      </c>
      <c r="AU4" s="35">
        <v>3</v>
      </c>
      <c r="AV4" s="35">
        <v>1</v>
      </c>
      <c r="AW4" s="35">
        <v>3</v>
      </c>
      <c r="AX4" s="35">
        <v>1</v>
      </c>
      <c r="AY4" s="35">
        <v>3</v>
      </c>
      <c r="AZ4" s="35">
        <v>3</v>
      </c>
      <c r="BA4" s="35">
        <v>3</v>
      </c>
      <c r="BB4" s="86">
        <f>SUM(AP4:BA4)</f>
        <v>29</v>
      </c>
      <c r="BC4" s="35">
        <v>2</v>
      </c>
      <c r="BD4" s="35">
        <v>2</v>
      </c>
      <c r="BE4" s="35">
        <v>3</v>
      </c>
      <c r="BF4" s="35">
        <v>3</v>
      </c>
      <c r="BG4" s="35">
        <v>2</v>
      </c>
      <c r="BH4" s="35">
        <v>2</v>
      </c>
      <c r="BI4" s="35">
        <v>3</v>
      </c>
      <c r="BJ4" s="35">
        <v>3</v>
      </c>
      <c r="BK4" s="86">
        <f>SUM(BC4:BJ4)</f>
        <v>20</v>
      </c>
      <c r="BL4" s="35">
        <v>1</v>
      </c>
      <c r="BM4" s="35">
        <v>3</v>
      </c>
      <c r="BN4" s="35">
        <v>3</v>
      </c>
      <c r="BO4" s="35">
        <v>3</v>
      </c>
      <c r="BP4" s="35"/>
      <c r="BQ4" s="35"/>
      <c r="BR4" s="35"/>
      <c r="BS4" s="38">
        <f>SUM(BL4:BR4)</f>
        <v>10</v>
      </c>
      <c r="BT4" s="87"/>
      <c r="BU4" s="84"/>
      <c r="BV4" s="36">
        <f>SUM(AO4+BK4+BS4+BB4)</f>
        <v>86</v>
      </c>
      <c r="BW4" s="37" t="str">
        <f>IF(BV4&lt;=0,"",IF(BV4&lt;=56,"INICIO",IF(BV4&lt;=83,"PROCESO",IF(BV4&lt;=111,"LOGRADO",""))))</f>
        <v>LOGRADO</v>
      </c>
      <c r="CB4" s="109" t="s">
        <v>129</v>
      </c>
      <c r="CC4" s="110"/>
      <c r="CD4" s="111"/>
    </row>
    <row r="5" spans="1:82" ht="23.25" customHeight="1" x14ac:dyDescent="0.25">
      <c r="A5" s="79">
        <v>2</v>
      </c>
      <c r="B5" s="80" t="s">
        <v>139</v>
      </c>
      <c r="C5" s="81"/>
      <c r="D5" s="81" t="s">
        <v>132</v>
      </c>
      <c r="E5" s="82">
        <v>14</v>
      </c>
      <c r="F5" s="83">
        <v>46139</v>
      </c>
      <c r="G5" s="82">
        <v>9</v>
      </c>
      <c r="H5" s="82">
        <v>175</v>
      </c>
      <c r="I5" s="82">
        <v>20</v>
      </c>
      <c r="J5" s="82" t="s">
        <v>37</v>
      </c>
      <c r="K5" s="82">
        <v>3</v>
      </c>
      <c r="L5" s="82">
        <v>0</v>
      </c>
      <c r="M5" s="100" t="s">
        <v>141</v>
      </c>
      <c r="N5" s="101">
        <v>32387785</v>
      </c>
      <c r="O5" s="100">
        <v>995692130</v>
      </c>
      <c r="P5" s="100" t="s">
        <v>134</v>
      </c>
      <c r="Q5" s="102" t="s">
        <v>140</v>
      </c>
      <c r="R5" s="103"/>
      <c r="S5" s="104"/>
      <c r="T5" s="103"/>
      <c r="U5" s="103"/>
      <c r="V5" s="103"/>
      <c r="W5" s="34" t="s">
        <v>36</v>
      </c>
      <c r="X5" s="34" t="s">
        <v>36</v>
      </c>
      <c r="Y5" s="34" t="s">
        <v>36</v>
      </c>
      <c r="Z5" s="34"/>
      <c r="AA5" s="34" t="s">
        <v>36</v>
      </c>
      <c r="AB5" s="34" t="s">
        <v>36</v>
      </c>
      <c r="AC5" s="34" t="s">
        <v>36</v>
      </c>
      <c r="AD5" s="85"/>
      <c r="AE5" s="35">
        <v>3</v>
      </c>
      <c r="AF5" s="35">
        <v>3</v>
      </c>
      <c r="AG5" s="35">
        <v>3</v>
      </c>
      <c r="AH5" s="35">
        <v>3</v>
      </c>
      <c r="AI5" s="35">
        <v>2</v>
      </c>
      <c r="AJ5" s="35">
        <v>3</v>
      </c>
      <c r="AK5" s="35">
        <v>3</v>
      </c>
      <c r="AL5" s="35">
        <v>3</v>
      </c>
      <c r="AM5" s="35">
        <v>3</v>
      </c>
      <c r="AN5" s="35">
        <v>3</v>
      </c>
      <c r="AO5" s="38">
        <f t="shared" ref="AO5:AO32" si="0">SUM(AE5:AN5)</f>
        <v>29</v>
      </c>
      <c r="AP5" s="35">
        <v>3</v>
      </c>
      <c r="AQ5" s="35">
        <v>2</v>
      </c>
      <c r="AR5" s="35">
        <v>3</v>
      </c>
      <c r="AS5" s="35">
        <v>3</v>
      </c>
      <c r="AT5" s="35">
        <v>3</v>
      </c>
      <c r="AU5" s="35">
        <v>2</v>
      </c>
      <c r="AV5" s="35">
        <v>1</v>
      </c>
      <c r="AW5" s="35">
        <v>3</v>
      </c>
      <c r="AX5" s="35">
        <v>3</v>
      </c>
      <c r="AY5" s="35">
        <v>3</v>
      </c>
      <c r="AZ5" s="35">
        <v>3</v>
      </c>
      <c r="BA5" s="35">
        <v>2</v>
      </c>
      <c r="BB5" s="86">
        <f t="shared" ref="BB5:BB32" si="1">SUM(AP5:BA5)</f>
        <v>31</v>
      </c>
      <c r="BC5" s="35">
        <v>1</v>
      </c>
      <c r="BD5" s="35">
        <v>1</v>
      </c>
      <c r="BE5" s="35">
        <v>3</v>
      </c>
      <c r="BF5" s="35">
        <v>2</v>
      </c>
      <c r="BG5" s="35">
        <v>1</v>
      </c>
      <c r="BH5" s="35">
        <v>1</v>
      </c>
      <c r="BI5" s="35">
        <v>3</v>
      </c>
      <c r="BJ5" s="35">
        <v>3</v>
      </c>
      <c r="BK5" s="86">
        <f t="shared" ref="BK5:BK32" si="2">SUM(BC5:BJ5)</f>
        <v>15</v>
      </c>
      <c r="BL5" s="35">
        <v>3</v>
      </c>
      <c r="BM5" s="35">
        <v>1</v>
      </c>
      <c r="BN5" s="35">
        <v>3</v>
      </c>
      <c r="BO5" s="35">
        <v>3</v>
      </c>
      <c r="BP5" s="35">
        <v>3</v>
      </c>
      <c r="BQ5" s="35">
        <v>3</v>
      </c>
      <c r="BR5" s="35">
        <v>3</v>
      </c>
      <c r="BS5" s="38">
        <f t="shared" ref="BS5:BS32" si="3">SUM(BL5:BR5)</f>
        <v>19</v>
      </c>
      <c r="BT5" s="88"/>
      <c r="BU5" s="84"/>
      <c r="BV5" s="36">
        <f t="shared" ref="BV5:BV32" si="4">SUM(AO5+BK5+BS5+BB5)</f>
        <v>94</v>
      </c>
      <c r="BW5" s="37" t="str">
        <f t="shared" ref="BW5:BW32" si="5">IF(BV5&lt;=0,"",IF(BV5&lt;=56,"INICIO",IF(BV5&lt;=83,"PROCESO",IF(BV5&lt;=111,"LOGRADO",""))))</f>
        <v>LOGRADO</v>
      </c>
      <c r="CB5" s="45" t="s">
        <v>38</v>
      </c>
      <c r="CC5" s="38" t="s">
        <v>39</v>
      </c>
      <c r="CD5" s="38" t="s">
        <v>40</v>
      </c>
    </row>
    <row r="6" spans="1:82" ht="23.25" customHeight="1" x14ac:dyDescent="0.25">
      <c r="A6" s="79">
        <v>3</v>
      </c>
      <c r="B6" s="80" t="s">
        <v>144</v>
      </c>
      <c r="C6" s="81" t="s">
        <v>145</v>
      </c>
      <c r="D6" s="81" t="s">
        <v>132</v>
      </c>
      <c r="E6" s="82">
        <v>11</v>
      </c>
      <c r="F6" s="83">
        <v>46141</v>
      </c>
      <c r="G6" s="82">
        <v>10</v>
      </c>
      <c r="H6" s="82">
        <v>250</v>
      </c>
      <c r="I6" s="82">
        <v>24</v>
      </c>
      <c r="J6" s="82" t="s">
        <v>146</v>
      </c>
      <c r="K6" s="82">
        <v>3</v>
      </c>
      <c r="L6" s="82">
        <v>1</v>
      </c>
      <c r="M6" s="100" t="s">
        <v>147</v>
      </c>
      <c r="N6" s="101"/>
      <c r="O6" s="100"/>
      <c r="P6" s="100" t="s">
        <v>134</v>
      </c>
      <c r="Q6" s="106"/>
      <c r="R6" s="103" t="s">
        <v>148</v>
      </c>
      <c r="S6" s="104" t="s">
        <v>149</v>
      </c>
      <c r="T6" s="103">
        <v>982270546</v>
      </c>
      <c r="U6" s="103" t="s">
        <v>134</v>
      </c>
      <c r="V6" s="105" t="s">
        <v>150</v>
      </c>
      <c r="W6" s="34" t="s">
        <v>36</v>
      </c>
      <c r="X6" s="34" t="s">
        <v>36</v>
      </c>
      <c r="Y6" s="34" t="s">
        <v>37</v>
      </c>
      <c r="Z6" s="34"/>
      <c r="AA6" s="34" t="s">
        <v>36</v>
      </c>
      <c r="AB6" s="34" t="s">
        <v>36</v>
      </c>
      <c r="AC6" s="34" t="s">
        <v>36</v>
      </c>
      <c r="AD6" s="85"/>
      <c r="AE6" s="35">
        <v>3</v>
      </c>
      <c r="AF6" s="35">
        <v>3</v>
      </c>
      <c r="AG6" s="35">
        <v>2</v>
      </c>
      <c r="AH6" s="35">
        <v>3</v>
      </c>
      <c r="AI6" s="35">
        <v>3</v>
      </c>
      <c r="AJ6" s="35">
        <v>3</v>
      </c>
      <c r="AK6" s="35">
        <v>3</v>
      </c>
      <c r="AL6" s="35">
        <v>3</v>
      </c>
      <c r="AM6" s="35">
        <v>3</v>
      </c>
      <c r="AN6" s="35">
        <v>3</v>
      </c>
      <c r="AO6" s="38">
        <f t="shared" si="0"/>
        <v>29</v>
      </c>
      <c r="AP6" s="35">
        <v>3</v>
      </c>
      <c r="AQ6" s="35">
        <v>2</v>
      </c>
      <c r="AR6" s="35">
        <v>3</v>
      </c>
      <c r="AS6" s="35">
        <v>3</v>
      </c>
      <c r="AT6" s="35">
        <v>3</v>
      </c>
      <c r="AU6" s="35">
        <v>2</v>
      </c>
      <c r="AV6" s="35">
        <v>2</v>
      </c>
      <c r="AW6" s="35">
        <v>3</v>
      </c>
      <c r="AX6" s="35">
        <v>2</v>
      </c>
      <c r="AY6" s="35">
        <v>3</v>
      </c>
      <c r="AZ6" s="35">
        <v>3</v>
      </c>
      <c r="BA6" s="35">
        <v>3</v>
      </c>
      <c r="BB6" s="86">
        <f t="shared" si="1"/>
        <v>32</v>
      </c>
      <c r="BC6" s="35">
        <v>2</v>
      </c>
      <c r="BD6" s="35">
        <v>3</v>
      </c>
      <c r="BE6" s="35">
        <v>3</v>
      </c>
      <c r="BF6" s="35">
        <v>3</v>
      </c>
      <c r="BG6" s="35">
        <v>2</v>
      </c>
      <c r="BH6" s="35">
        <v>3</v>
      </c>
      <c r="BI6" s="35">
        <v>3</v>
      </c>
      <c r="BJ6" s="35">
        <v>3</v>
      </c>
      <c r="BK6" s="86">
        <f t="shared" si="2"/>
        <v>22</v>
      </c>
      <c r="BL6" s="35">
        <v>3</v>
      </c>
      <c r="BM6" s="35">
        <v>3</v>
      </c>
      <c r="BN6" s="35">
        <v>3</v>
      </c>
      <c r="BO6" s="35">
        <v>3</v>
      </c>
      <c r="BP6" s="35"/>
      <c r="BQ6" s="35"/>
      <c r="BR6" s="35"/>
      <c r="BS6" s="38">
        <f t="shared" si="3"/>
        <v>12</v>
      </c>
      <c r="BT6" s="87"/>
      <c r="BU6" s="84"/>
      <c r="BV6" s="36">
        <f t="shared" si="4"/>
        <v>95</v>
      </c>
      <c r="BW6" s="37" t="str">
        <f t="shared" si="5"/>
        <v>LOGRADO</v>
      </c>
      <c r="CB6" s="46" t="s">
        <v>41</v>
      </c>
      <c r="CC6" s="39">
        <f>COUNTIF($BW$4:$BW$33,"INICIO")</f>
        <v>0</v>
      </c>
      <c r="CD6" s="40">
        <f>CC6/COUNTA($BW$4:$BW$32)</f>
        <v>0</v>
      </c>
    </row>
    <row r="7" spans="1:82" ht="23.25" customHeight="1" x14ac:dyDescent="0.25">
      <c r="A7" s="79">
        <v>4</v>
      </c>
      <c r="B7" s="80" t="s">
        <v>151</v>
      </c>
      <c r="C7" s="81" t="s">
        <v>152</v>
      </c>
      <c r="D7" s="81" t="s">
        <v>132</v>
      </c>
      <c r="E7" s="82">
        <v>16</v>
      </c>
      <c r="F7" s="82">
        <v>23242026</v>
      </c>
      <c r="G7" s="82">
        <v>16</v>
      </c>
      <c r="H7" s="82">
        <v>437</v>
      </c>
      <c r="I7" s="82">
        <v>36</v>
      </c>
      <c r="J7" s="82" t="s">
        <v>37</v>
      </c>
      <c r="K7" s="82">
        <v>3</v>
      </c>
      <c r="L7" s="82">
        <v>1</v>
      </c>
      <c r="M7" s="100" t="s">
        <v>153</v>
      </c>
      <c r="N7" s="101" t="s">
        <v>155</v>
      </c>
      <c r="O7" s="100">
        <v>964309616</v>
      </c>
      <c r="P7" s="100" t="s">
        <v>134</v>
      </c>
      <c r="Q7" s="102" t="s">
        <v>156</v>
      </c>
      <c r="R7" s="103" t="s">
        <v>157</v>
      </c>
      <c r="S7" s="104" t="s">
        <v>158</v>
      </c>
      <c r="T7" s="103">
        <v>957978177</v>
      </c>
      <c r="U7" s="103" t="s">
        <v>134</v>
      </c>
      <c r="V7" s="105" t="s">
        <v>159</v>
      </c>
      <c r="W7" s="34" t="s">
        <v>36</v>
      </c>
      <c r="X7" s="34" t="s">
        <v>36</v>
      </c>
      <c r="Y7" s="34" t="s">
        <v>36</v>
      </c>
      <c r="Z7" s="34"/>
      <c r="AA7" s="34" t="s">
        <v>36</v>
      </c>
      <c r="AB7" s="34" t="s">
        <v>36</v>
      </c>
      <c r="AC7" s="34" t="s">
        <v>36</v>
      </c>
      <c r="AD7" s="85"/>
      <c r="AE7" s="35">
        <v>3</v>
      </c>
      <c r="AF7" s="35">
        <v>3</v>
      </c>
      <c r="AG7" s="35">
        <v>3</v>
      </c>
      <c r="AH7" s="35">
        <v>3</v>
      </c>
      <c r="AI7" s="35">
        <v>3</v>
      </c>
      <c r="AJ7" s="35">
        <v>3</v>
      </c>
      <c r="AK7" s="35">
        <v>3</v>
      </c>
      <c r="AL7" s="35">
        <v>3</v>
      </c>
      <c r="AM7" s="35">
        <v>2</v>
      </c>
      <c r="AN7" s="35">
        <v>3</v>
      </c>
      <c r="AO7" s="38">
        <f t="shared" si="0"/>
        <v>29</v>
      </c>
      <c r="AP7" s="35">
        <v>3</v>
      </c>
      <c r="AQ7" s="35">
        <v>2</v>
      </c>
      <c r="AR7" s="35">
        <v>3</v>
      </c>
      <c r="AS7" s="35">
        <v>3</v>
      </c>
      <c r="AT7" s="35">
        <v>3</v>
      </c>
      <c r="AU7" s="35">
        <v>2</v>
      </c>
      <c r="AV7" s="35">
        <v>2</v>
      </c>
      <c r="AW7" s="35">
        <v>3</v>
      </c>
      <c r="AX7" s="35">
        <v>3</v>
      </c>
      <c r="AY7" s="35">
        <v>3</v>
      </c>
      <c r="AZ7" s="35">
        <v>3</v>
      </c>
      <c r="BA7" s="35">
        <v>3</v>
      </c>
      <c r="BB7" s="86">
        <f t="shared" si="1"/>
        <v>33</v>
      </c>
      <c r="BC7" s="35">
        <v>2</v>
      </c>
      <c r="BD7" s="35">
        <v>2</v>
      </c>
      <c r="BE7" s="35">
        <v>3</v>
      </c>
      <c r="BF7" s="35">
        <v>3</v>
      </c>
      <c r="BG7" s="35">
        <v>2</v>
      </c>
      <c r="BH7" s="35">
        <v>1</v>
      </c>
      <c r="BI7" s="35">
        <v>3</v>
      </c>
      <c r="BJ7" s="35">
        <v>3</v>
      </c>
      <c r="BK7" s="86">
        <f t="shared" si="2"/>
        <v>19</v>
      </c>
      <c r="BL7" s="35">
        <v>3</v>
      </c>
      <c r="BM7" s="35">
        <v>3</v>
      </c>
      <c r="BN7" s="35">
        <v>3</v>
      </c>
      <c r="BO7" s="35">
        <v>3</v>
      </c>
      <c r="BP7" s="35">
        <v>3</v>
      </c>
      <c r="BQ7" s="35">
        <v>3</v>
      </c>
      <c r="BR7" s="35">
        <v>3</v>
      </c>
      <c r="BS7" s="38">
        <f t="shared" si="3"/>
        <v>21</v>
      </c>
      <c r="BT7" s="87"/>
      <c r="BU7" s="84"/>
      <c r="BV7" s="36">
        <f t="shared" si="4"/>
        <v>102</v>
      </c>
      <c r="BW7" s="37" t="str">
        <f t="shared" si="5"/>
        <v>LOGRADO</v>
      </c>
      <c r="CB7" s="47" t="s">
        <v>42</v>
      </c>
      <c r="CC7" s="41">
        <f>COUNTIF($BW$4:$BW$33,"PROCESO")</f>
        <v>7</v>
      </c>
      <c r="CD7" s="42">
        <f>CC7/COUNTA($BW$4:$BW$32)</f>
        <v>0.2413793103448276</v>
      </c>
    </row>
    <row r="8" spans="1:82" ht="23.25" customHeight="1" x14ac:dyDescent="0.25">
      <c r="A8" s="79">
        <v>5</v>
      </c>
      <c r="B8" s="80" t="s">
        <v>160</v>
      </c>
      <c r="C8" s="81" t="s">
        <v>161</v>
      </c>
      <c r="D8" s="81" t="s">
        <v>132</v>
      </c>
      <c r="E8" s="82">
        <v>5</v>
      </c>
      <c r="F8" s="83">
        <v>46134</v>
      </c>
      <c r="G8" s="82">
        <v>28</v>
      </c>
      <c r="H8" s="82">
        <v>777</v>
      </c>
      <c r="I8" s="82"/>
      <c r="J8" s="82" t="s">
        <v>37</v>
      </c>
      <c r="K8" s="82">
        <v>5</v>
      </c>
      <c r="L8" s="82">
        <v>2</v>
      </c>
      <c r="M8" s="100" t="s">
        <v>162</v>
      </c>
      <c r="N8" s="101"/>
      <c r="O8" s="100">
        <v>944227135</v>
      </c>
      <c r="P8" s="100" t="s">
        <v>134</v>
      </c>
      <c r="Q8" s="102" t="s">
        <v>163</v>
      </c>
      <c r="R8" s="103" t="s">
        <v>166</v>
      </c>
      <c r="S8" s="104" t="s">
        <v>164</v>
      </c>
      <c r="T8" s="103">
        <v>945941711</v>
      </c>
      <c r="U8" s="103" t="s">
        <v>134</v>
      </c>
      <c r="V8" s="105" t="s">
        <v>165</v>
      </c>
      <c r="W8" s="34" t="s">
        <v>36</v>
      </c>
      <c r="X8" s="34" t="s">
        <v>37</v>
      </c>
      <c r="Y8" s="34" t="s">
        <v>36</v>
      </c>
      <c r="Z8" s="34"/>
      <c r="AA8" s="34" t="s">
        <v>36</v>
      </c>
      <c r="AB8" s="34" t="s">
        <v>36</v>
      </c>
      <c r="AC8" s="34" t="s">
        <v>36</v>
      </c>
      <c r="AD8" s="85"/>
      <c r="AE8" s="35">
        <v>2</v>
      </c>
      <c r="AF8" s="35">
        <v>2</v>
      </c>
      <c r="AG8" s="35">
        <v>2</v>
      </c>
      <c r="AH8" s="35">
        <v>3</v>
      </c>
      <c r="AI8" s="35">
        <v>3</v>
      </c>
      <c r="AJ8" s="35">
        <v>3</v>
      </c>
      <c r="AK8" s="35">
        <v>3</v>
      </c>
      <c r="AL8" s="35">
        <v>2</v>
      </c>
      <c r="AM8" s="35">
        <v>2</v>
      </c>
      <c r="AN8" s="35">
        <v>3</v>
      </c>
      <c r="AO8" s="38">
        <f t="shared" si="0"/>
        <v>25</v>
      </c>
      <c r="AP8" s="35">
        <v>3</v>
      </c>
      <c r="AQ8" s="35">
        <v>1</v>
      </c>
      <c r="AR8" s="35">
        <v>3</v>
      </c>
      <c r="AS8" s="35">
        <v>2</v>
      </c>
      <c r="AT8" s="35">
        <v>3</v>
      </c>
      <c r="AU8" s="35">
        <v>3</v>
      </c>
      <c r="AV8" s="35">
        <v>1</v>
      </c>
      <c r="AW8" s="35">
        <v>3</v>
      </c>
      <c r="AX8" s="35">
        <v>1</v>
      </c>
      <c r="AY8" s="35">
        <v>3</v>
      </c>
      <c r="AZ8" s="35">
        <v>2</v>
      </c>
      <c r="BA8" s="35">
        <v>3</v>
      </c>
      <c r="BB8" s="86">
        <f t="shared" si="1"/>
        <v>28</v>
      </c>
      <c r="BC8" s="35">
        <v>1</v>
      </c>
      <c r="BD8" s="35">
        <v>1</v>
      </c>
      <c r="BE8" s="35">
        <v>2</v>
      </c>
      <c r="BF8" s="35">
        <v>3</v>
      </c>
      <c r="BG8" s="35">
        <v>1</v>
      </c>
      <c r="BH8" s="35">
        <v>1</v>
      </c>
      <c r="BI8" s="35">
        <v>2</v>
      </c>
      <c r="BJ8" s="35">
        <v>3</v>
      </c>
      <c r="BK8" s="86">
        <f t="shared" si="2"/>
        <v>14</v>
      </c>
      <c r="BL8" s="35">
        <v>2</v>
      </c>
      <c r="BM8" s="35">
        <v>1</v>
      </c>
      <c r="BN8" s="35">
        <v>3</v>
      </c>
      <c r="BO8" s="35">
        <v>2</v>
      </c>
      <c r="BP8" s="35">
        <v>3</v>
      </c>
      <c r="BQ8" s="35">
        <v>2</v>
      </c>
      <c r="BR8" s="35">
        <v>3</v>
      </c>
      <c r="BS8" s="38">
        <f t="shared" si="3"/>
        <v>16</v>
      </c>
      <c r="BT8" s="88"/>
      <c r="BU8" s="84"/>
      <c r="BV8" s="36">
        <f t="shared" si="4"/>
        <v>83</v>
      </c>
      <c r="BW8" s="37" t="str">
        <f t="shared" si="5"/>
        <v>PROCESO</v>
      </c>
      <c r="CB8" s="48" t="s">
        <v>43</v>
      </c>
      <c r="CC8" s="43">
        <f>COUNTIF($BW$4:$BW$33,"LOGRADO")</f>
        <v>22</v>
      </c>
      <c r="CD8" s="44">
        <f>CC8/COUNTA($BW$4:$BW$32)</f>
        <v>0.75862068965517238</v>
      </c>
    </row>
    <row r="9" spans="1:82" ht="23.25" customHeight="1" x14ac:dyDescent="0.25">
      <c r="A9" s="79">
        <v>6</v>
      </c>
      <c r="B9" s="80" t="s">
        <v>167</v>
      </c>
      <c r="C9" s="81" t="s">
        <v>168</v>
      </c>
      <c r="D9" s="81" t="s">
        <v>132</v>
      </c>
      <c r="E9" s="82">
        <v>11</v>
      </c>
      <c r="F9" s="83">
        <v>46136</v>
      </c>
      <c r="G9" s="82">
        <v>6</v>
      </c>
      <c r="H9" s="82">
        <v>154</v>
      </c>
      <c r="I9" s="82">
        <v>14</v>
      </c>
      <c r="J9" s="82" t="s">
        <v>37</v>
      </c>
      <c r="K9" s="82">
        <v>1</v>
      </c>
      <c r="L9" s="82">
        <v>1</v>
      </c>
      <c r="M9" s="100" t="s">
        <v>169</v>
      </c>
      <c r="N9" s="101" t="s">
        <v>170</v>
      </c>
      <c r="O9" s="100">
        <v>948417403</v>
      </c>
      <c r="P9" s="100" t="s">
        <v>134</v>
      </c>
      <c r="Q9" s="102" t="s">
        <v>171</v>
      </c>
      <c r="R9" s="103"/>
      <c r="S9" s="104"/>
      <c r="T9" s="103"/>
      <c r="U9" s="103"/>
      <c r="V9" s="103"/>
      <c r="W9" s="34" t="s">
        <v>36</v>
      </c>
      <c r="X9" s="34" t="s">
        <v>36</v>
      </c>
      <c r="Y9" s="34" t="s">
        <v>37</v>
      </c>
      <c r="Z9" s="34"/>
      <c r="AA9" s="34" t="s">
        <v>36</v>
      </c>
      <c r="AB9" s="34" t="s">
        <v>36</v>
      </c>
      <c r="AC9" s="34" t="s">
        <v>36</v>
      </c>
      <c r="AD9" s="85"/>
      <c r="AE9" s="35">
        <v>3</v>
      </c>
      <c r="AF9" s="35">
        <v>2</v>
      </c>
      <c r="AG9" s="35">
        <v>2</v>
      </c>
      <c r="AH9" s="35">
        <v>3</v>
      </c>
      <c r="AI9" s="35">
        <v>2</v>
      </c>
      <c r="AJ9" s="35">
        <v>3</v>
      </c>
      <c r="AK9" s="35">
        <v>3</v>
      </c>
      <c r="AL9" s="35">
        <v>3</v>
      </c>
      <c r="AM9" s="35">
        <v>3</v>
      </c>
      <c r="AN9" s="35">
        <v>3</v>
      </c>
      <c r="AO9" s="38">
        <f t="shared" si="0"/>
        <v>27</v>
      </c>
      <c r="AP9" s="35">
        <v>3</v>
      </c>
      <c r="AQ9" s="35">
        <v>2</v>
      </c>
      <c r="AR9" s="35">
        <v>3</v>
      </c>
      <c r="AS9" s="35">
        <v>2</v>
      </c>
      <c r="AT9" s="35">
        <v>3</v>
      </c>
      <c r="AU9" s="35">
        <v>2</v>
      </c>
      <c r="AV9" s="35">
        <v>2</v>
      </c>
      <c r="AW9" s="35">
        <v>3</v>
      </c>
      <c r="AX9" s="35">
        <v>2</v>
      </c>
      <c r="AY9" s="35">
        <v>3</v>
      </c>
      <c r="AZ9" s="35">
        <v>3</v>
      </c>
      <c r="BA9" s="35">
        <v>3</v>
      </c>
      <c r="BB9" s="86">
        <f t="shared" si="1"/>
        <v>31</v>
      </c>
      <c r="BC9" s="35">
        <v>2</v>
      </c>
      <c r="BD9" s="35">
        <v>1</v>
      </c>
      <c r="BE9" s="35">
        <v>3</v>
      </c>
      <c r="BF9" s="35">
        <v>3</v>
      </c>
      <c r="BG9" s="35">
        <v>2</v>
      </c>
      <c r="BH9" s="35">
        <v>2</v>
      </c>
      <c r="BI9" s="35">
        <v>3</v>
      </c>
      <c r="BJ9" s="35">
        <v>3</v>
      </c>
      <c r="BK9" s="86">
        <f t="shared" si="2"/>
        <v>19</v>
      </c>
      <c r="BL9" s="35">
        <v>3</v>
      </c>
      <c r="BM9" s="35">
        <v>3</v>
      </c>
      <c r="BN9" s="35">
        <v>3</v>
      </c>
      <c r="BO9" s="35">
        <v>3</v>
      </c>
      <c r="BP9" s="35"/>
      <c r="BQ9" s="35"/>
      <c r="BR9" s="35"/>
      <c r="BS9" s="38">
        <f t="shared" si="3"/>
        <v>12</v>
      </c>
      <c r="BT9" s="88"/>
      <c r="BU9" s="84"/>
      <c r="BV9" s="36">
        <f t="shared" si="4"/>
        <v>89</v>
      </c>
      <c r="BW9" s="37" t="str">
        <f t="shared" si="5"/>
        <v>LOGRADO</v>
      </c>
    </row>
    <row r="10" spans="1:82" ht="36" customHeight="1" x14ac:dyDescent="0.25">
      <c r="A10" s="79">
        <v>7</v>
      </c>
      <c r="B10" s="80" t="s">
        <v>173</v>
      </c>
      <c r="C10" s="81" t="s">
        <v>174</v>
      </c>
      <c r="D10" s="81" t="s">
        <v>132</v>
      </c>
      <c r="E10" s="82">
        <v>16</v>
      </c>
      <c r="F10" s="83">
        <v>46141</v>
      </c>
      <c r="G10" s="82">
        <v>27</v>
      </c>
      <c r="H10" s="82">
        <v>685</v>
      </c>
      <c r="I10" s="82">
        <v>54</v>
      </c>
      <c r="J10" s="82" t="s">
        <v>37</v>
      </c>
      <c r="K10" s="82">
        <v>5</v>
      </c>
      <c r="L10" s="82">
        <v>2</v>
      </c>
      <c r="M10" s="100" t="s">
        <v>176</v>
      </c>
      <c r="N10" s="101" t="s">
        <v>175</v>
      </c>
      <c r="O10" s="100">
        <v>991110631</v>
      </c>
      <c r="P10" s="100" t="s">
        <v>134</v>
      </c>
      <c r="Q10" s="102" t="s">
        <v>177</v>
      </c>
      <c r="R10" s="103" t="s">
        <v>178</v>
      </c>
      <c r="S10" s="104" t="s">
        <v>179</v>
      </c>
      <c r="T10" s="103">
        <v>972678925</v>
      </c>
      <c r="U10" s="103" t="s">
        <v>134</v>
      </c>
      <c r="V10" s="105" t="s">
        <v>180</v>
      </c>
      <c r="W10" s="34" t="s">
        <v>36</v>
      </c>
      <c r="X10" s="34" t="s">
        <v>37</v>
      </c>
      <c r="Y10" s="34" t="s">
        <v>36</v>
      </c>
      <c r="Z10" s="34"/>
      <c r="AA10" s="34" t="s">
        <v>36</v>
      </c>
      <c r="AB10" s="34" t="s">
        <v>36</v>
      </c>
      <c r="AC10" s="34" t="s">
        <v>36</v>
      </c>
      <c r="AD10" s="85"/>
      <c r="AE10" s="35">
        <v>2</v>
      </c>
      <c r="AF10" s="35">
        <v>1</v>
      </c>
      <c r="AG10" s="35">
        <v>1</v>
      </c>
      <c r="AH10" s="35">
        <v>3</v>
      </c>
      <c r="AI10" s="35">
        <v>3</v>
      </c>
      <c r="AJ10" s="35">
        <v>3</v>
      </c>
      <c r="AK10" s="35">
        <v>3</v>
      </c>
      <c r="AL10" s="35">
        <v>3</v>
      </c>
      <c r="AM10" s="35">
        <v>2</v>
      </c>
      <c r="AN10" s="35">
        <v>3</v>
      </c>
      <c r="AO10" s="38">
        <f t="shared" si="0"/>
        <v>24</v>
      </c>
      <c r="AP10" s="35">
        <v>3</v>
      </c>
      <c r="AQ10" s="35">
        <v>3</v>
      </c>
      <c r="AR10" s="35">
        <v>3</v>
      </c>
      <c r="AS10" s="35">
        <v>3</v>
      </c>
      <c r="AT10" s="35">
        <v>2</v>
      </c>
      <c r="AU10" s="35">
        <v>2</v>
      </c>
      <c r="AV10" s="35">
        <v>2</v>
      </c>
      <c r="AW10" s="35">
        <v>3</v>
      </c>
      <c r="AX10" s="35">
        <v>2</v>
      </c>
      <c r="AY10" s="35">
        <v>3</v>
      </c>
      <c r="AZ10" s="35">
        <v>3</v>
      </c>
      <c r="BA10" s="35">
        <v>3</v>
      </c>
      <c r="BB10" s="86">
        <f t="shared" si="1"/>
        <v>32</v>
      </c>
      <c r="BC10" s="35">
        <v>2</v>
      </c>
      <c r="BD10" s="35">
        <v>2</v>
      </c>
      <c r="BE10" s="35">
        <v>3</v>
      </c>
      <c r="BF10" s="35">
        <v>3</v>
      </c>
      <c r="BG10" s="35">
        <v>2</v>
      </c>
      <c r="BH10" s="35">
        <v>2</v>
      </c>
      <c r="BI10" s="35">
        <v>3</v>
      </c>
      <c r="BJ10" s="35">
        <v>3</v>
      </c>
      <c r="BK10" s="86">
        <f t="shared" si="2"/>
        <v>20</v>
      </c>
      <c r="BL10" s="35">
        <v>3</v>
      </c>
      <c r="BM10" s="35">
        <v>3</v>
      </c>
      <c r="BN10" s="35">
        <v>3</v>
      </c>
      <c r="BO10" s="35">
        <v>3</v>
      </c>
      <c r="BP10" s="35">
        <v>3</v>
      </c>
      <c r="BQ10" s="35">
        <v>3</v>
      </c>
      <c r="BR10" s="35">
        <v>3</v>
      </c>
      <c r="BS10" s="38">
        <f t="shared" si="3"/>
        <v>21</v>
      </c>
      <c r="BT10" s="88"/>
      <c r="BU10" s="89"/>
      <c r="BV10" s="36">
        <f t="shared" si="4"/>
        <v>97</v>
      </c>
      <c r="BW10" s="37" t="str">
        <f t="shared" si="5"/>
        <v>LOGRADO</v>
      </c>
    </row>
    <row r="11" spans="1:82" ht="23.25" customHeight="1" x14ac:dyDescent="0.25">
      <c r="A11" s="79">
        <v>8</v>
      </c>
      <c r="B11" s="80" t="s">
        <v>181</v>
      </c>
      <c r="C11" s="81" t="s">
        <v>182</v>
      </c>
      <c r="D11" s="81" t="s">
        <v>132</v>
      </c>
      <c r="E11" s="82">
        <v>11</v>
      </c>
      <c r="F11" s="83">
        <v>46140</v>
      </c>
      <c r="G11" s="82">
        <v>25</v>
      </c>
      <c r="H11" s="82">
        <v>794</v>
      </c>
      <c r="I11" s="82">
        <v>51</v>
      </c>
      <c r="J11" s="82" t="s">
        <v>37</v>
      </c>
      <c r="K11" s="82">
        <v>5</v>
      </c>
      <c r="L11" s="82"/>
      <c r="M11" s="100" t="s">
        <v>183</v>
      </c>
      <c r="N11" s="101" t="s">
        <v>184</v>
      </c>
      <c r="O11" s="100">
        <v>981849982</v>
      </c>
      <c r="P11" s="100" t="s">
        <v>185</v>
      </c>
      <c r="Q11" s="102" t="s">
        <v>186</v>
      </c>
      <c r="R11" s="103" t="s">
        <v>187</v>
      </c>
      <c r="S11" s="104" t="s">
        <v>188</v>
      </c>
      <c r="T11" s="103">
        <v>989839235</v>
      </c>
      <c r="U11" s="103" t="s">
        <v>134</v>
      </c>
      <c r="V11" s="105" t="s">
        <v>189</v>
      </c>
      <c r="W11" s="34" t="s">
        <v>36</v>
      </c>
      <c r="X11" s="34" t="s">
        <v>36</v>
      </c>
      <c r="Y11" s="34" t="s">
        <v>37</v>
      </c>
      <c r="Z11" s="34"/>
      <c r="AA11" s="34" t="s">
        <v>36</v>
      </c>
      <c r="AB11" s="34" t="s">
        <v>36</v>
      </c>
      <c r="AC11" s="34" t="s">
        <v>36</v>
      </c>
      <c r="AD11" s="85"/>
      <c r="AE11" s="35">
        <v>3</v>
      </c>
      <c r="AF11" s="35">
        <v>3</v>
      </c>
      <c r="AG11" s="35">
        <v>2</v>
      </c>
      <c r="AH11" s="35">
        <v>3</v>
      </c>
      <c r="AI11" s="35">
        <v>3</v>
      </c>
      <c r="AJ11" s="35">
        <v>3</v>
      </c>
      <c r="AK11" s="35">
        <v>3</v>
      </c>
      <c r="AL11" s="35">
        <v>3</v>
      </c>
      <c r="AM11" s="35">
        <v>2</v>
      </c>
      <c r="AN11" s="35">
        <v>3</v>
      </c>
      <c r="AO11" s="38">
        <f t="shared" si="0"/>
        <v>28</v>
      </c>
      <c r="AP11" s="35">
        <v>3</v>
      </c>
      <c r="AQ11" s="35">
        <v>1</v>
      </c>
      <c r="AR11" s="35">
        <v>2</v>
      </c>
      <c r="AS11" s="35">
        <v>3</v>
      </c>
      <c r="AT11" s="35">
        <v>3</v>
      </c>
      <c r="AU11" s="35">
        <v>2</v>
      </c>
      <c r="AV11" s="35">
        <v>1</v>
      </c>
      <c r="AW11" s="35">
        <v>3</v>
      </c>
      <c r="AX11" s="35">
        <v>1</v>
      </c>
      <c r="AY11" s="35">
        <v>3</v>
      </c>
      <c r="AZ11" s="35">
        <v>3</v>
      </c>
      <c r="BA11" s="35">
        <v>3</v>
      </c>
      <c r="BB11" s="86">
        <f t="shared" si="1"/>
        <v>28</v>
      </c>
      <c r="BC11" s="35">
        <v>2</v>
      </c>
      <c r="BD11" s="35">
        <v>1</v>
      </c>
      <c r="BE11" s="35">
        <v>2</v>
      </c>
      <c r="BF11" s="35">
        <v>3</v>
      </c>
      <c r="BG11" s="35">
        <v>2</v>
      </c>
      <c r="BH11" s="35">
        <v>2</v>
      </c>
      <c r="BI11" s="35">
        <v>3</v>
      </c>
      <c r="BJ11" s="35">
        <v>3</v>
      </c>
      <c r="BK11" s="86">
        <f t="shared" si="2"/>
        <v>18</v>
      </c>
      <c r="BL11" s="35">
        <v>1</v>
      </c>
      <c r="BM11" s="35">
        <v>2</v>
      </c>
      <c r="BN11" s="35">
        <v>3</v>
      </c>
      <c r="BO11" s="35">
        <v>3</v>
      </c>
      <c r="BP11" s="35"/>
      <c r="BQ11" s="35"/>
      <c r="BR11" s="35"/>
      <c r="BS11" s="38">
        <f t="shared" si="3"/>
        <v>9</v>
      </c>
      <c r="BT11" s="88"/>
      <c r="BU11" s="88"/>
      <c r="BV11" s="36">
        <f t="shared" si="4"/>
        <v>83</v>
      </c>
      <c r="BW11" s="37" t="str">
        <f t="shared" si="5"/>
        <v>PROCESO</v>
      </c>
    </row>
    <row r="12" spans="1:82" ht="23.25" customHeight="1" x14ac:dyDescent="0.25">
      <c r="A12" s="79">
        <v>9</v>
      </c>
      <c r="B12" s="80" t="s">
        <v>190</v>
      </c>
      <c r="C12" s="81" t="s">
        <v>191</v>
      </c>
      <c r="D12" s="81" t="s">
        <v>132</v>
      </c>
      <c r="E12" s="82">
        <v>12</v>
      </c>
      <c r="F12" s="90">
        <v>46142</v>
      </c>
      <c r="G12" s="82">
        <v>15</v>
      </c>
      <c r="H12" s="82">
        <v>331</v>
      </c>
      <c r="I12" s="82">
        <v>34</v>
      </c>
      <c r="J12" s="82" t="s">
        <v>36</v>
      </c>
      <c r="K12" s="82">
        <v>3</v>
      </c>
      <c r="L12" s="82">
        <v>1</v>
      </c>
      <c r="M12" s="100" t="s">
        <v>197</v>
      </c>
      <c r="N12" s="101" t="s">
        <v>192</v>
      </c>
      <c r="O12" s="100">
        <v>981336985</v>
      </c>
      <c r="P12" s="100" t="s">
        <v>134</v>
      </c>
      <c r="Q12" s="102" t="s">
        <v>193</v>
      </c>
      <c r="R12" s="103" t="s">
        <v>195</v>
      </c>
      <c r="S12" s="104" t="s">
        <v>194</v>
      </c>
      <c r="T12" s="103">
        <v>958619058</v>
      </c>
      <c r="U12" s="103" t="s">
        <v>134</v>
      </c>
      <c r="V12" s="105" t="s">
        <v>196</v>
      </c>
      <c r="W12" s="34" t="s">
        <v>36</v>
      </c>
      <c r="X12" s="34" t="s">
        <v>36</v>
      </c>
      <c r="Y12" s="34" t="s">
        <v>36</v>
      </c>
      <c r="Z12" s="34" t="s">
        <v>36</v>
      </c>
      <c r="AA12" s="34" t="s">
        <v>36</v>
      </c>
      <c r="AB12" s="34" t="s">
        <v>36</v>
      </c>
      <c r="AC12" s="34" t="s">
        <v>36</v>
      </c>
      <c r="AD12" s="85"/>
      <c r="AE12" s="35">
        <v>3</v>
      </c>
      <c r="AF12" s="35">
        <v>2</v>
      </c>
      <c r="AG12" s="35">
        <v>2</v>
      </c>
      <c r="AH12" s="35">
        <v>3</v>
      </c>
      <c r="AI12" s="35">
        <v>3</v>
      </c>
      <c r="AJ12" s="35"/>
      <c r="AK12" s="35">
        <v>3</v>
      </c>
      <c r="AL12" s="35">
        <v>3</v>
      </c>
      <c r="AM12" s="35">
        <v>2</v>
      </c>
      <c r="AN12" s="35">
        <v>3</v>
      </c>
      <c r="AO12" s="38">
        <f t="shared" si="0"/>
        <v>24</v>
      </c>
      <c r="AP12" s="35">
        <v>3</v>
      </c>
      <c r="AQ12" s="35">
        <v>2</v>
      </c>
      <c r="AR12" s="35">
        <v>3</v>
      </c>
      <c r="AS12" s="35">
        <v>3</v>
      </c>
      <c r="AT12" s="35">
        <v>2</v>
      </c>
      <c r="AU12" s="35">
        <v>2</v>
      </c>
      <c r="AV12" s="35">
        <v>2</v>
      </c>
      <c r="AW12" s="35">
        <v>3</v>
      </c>
      <c r="AX12" s="35">
        <v>2</v>
      </c>
      <c r="AY12" s="35">
        <v>3</v>
      </c>
      <c r="AZ12" s="35">
        <v>3</v>
      </c>
      <c r="BA12" s="35">
        <v>3</v>
      </c>
      <c r="BB12" s="86">
        <f t="shared" si="1"/>
        <v>31</v>
      </c>
      <c r="BC12" s="35">
        <v>2</v>
      </c>
      <c r="BD12" s="35">
        <v>2</v>
      </c>
      <c r="BE12" s="35">
        <v>3</v>
      </c>
      <c r="BF12" s="35">
        <v>2</v>
      </c>
      <c r="BG12" s="35">
        <v>1</v>
      </c>
      <c r="BH12" s="35">
        <v>1</v>
      </c>
      <c r="BI12" s="35">
        <v>3</v>
      </c>
      <c r="BJ12" s="35">
        <v>3</v>
      </c>
      <c r="BK12" s="86">
        <f t="shared" si="2"/>
        <v>17</v>
      </c>
      <c r="BL12" s="35">
        <v>3</v>
      </c>
      <c r="BM12" s="35">
        <v>3</v>
      </c>
      <c r="BN12" s="35">
        <v>3</v>
      </c>
      <c r="BO12" s="35">
        <v>2</v>
      </c>
      <c r="BP12" s="35">
        <v>3</v>
      </c>
      <c r="BQ12" s="35">
        <v>3</v>
      </c>
      <c r="BR12" s="35">
        <v>3</v>
      </c>
      <c r="BS12" s="38">
        <f t="shared" si="3"/>
        <v>20</v>
      </c>
      <c r="BT12" s="88"/>
      <c r="BU12" s="88"/>
      <c r="BV12" s="36">
        <f t="shared" si="4"/>
        <v>92</v>
      </c>
      <c r="BW12" s="37" t="str">
        <f t="shared" si="5"/>
        <v>LOGRADO</v>
      </c>
    </row>
    <row r="13" spans="1:82" ht="31.5" customHeight="1" x14ac:dyDescent="0.25">
      <c r="A13" s="79">
        <v>10</v>
      </c>
      <c r="B13" s="80" t="s">
        <v>198</v>
      </c>
      <c r="C13" s="81" t="s">
        <v>199</v>
      </c>
      <c r="D13" s="81" t="s">
        <v>132</v>
      </c>
      <c r="E13" s="91">
        <v>5</v>
      </c>
      <c r="F13" s="92">
        <v>46135</v>
      </c>
      <c r="G13" s="82">
        <v>14</v>
      </c>
      <c r="H13" s="82">
        <v>304</v>
      </c>
      <c r="I13" s="82">
        <v>32</v>
      </c>
      <c r="J13" s="82" t="s">
        <v>37</v>
      </c>
      <c r="K13" s="82">
        <v>3</v>
      </c>
      <c r="L13" s="82">
        <v>1</v>
      </c>
      <c r="M13" s="100" t="s">
        <v>200</v>
      </c>
      <c r="N13" s="101" t="s">
        <v>201</v>
      </c>
      <c r="O13" s="100">
        <v>920233374</v>
      </c>
      <c r="P13" s="100" t="s">
        <v>134</v>
      </c>
      <c r="Q13" s="102" t="s">
        <v>202</v>
      </c>
      <c r="R13" s="103" t="s">
        <v>203</v>
      </c>
      <c r="S13" s="104" t="s">
        <v>204</v>
      </c>
      <c r="T13" s="103">
        <v>989984926</v>
      </c>
      <c r="U13" s="103" t="s">
        <v>214</v>
      </c>
      <c r="V13" s="105" t="s">
        <v>205</v>
      </c>
      <c r="W13" s="34" t="s">
        <v>36</v>
      </c>
      <c r="X13" s="34" t="s">
        <v>36</v>
      </c>
      <c r="Y13" s="34" t="s">
        <v>36</v>
      </c>
      <c r="Z13" s="34"/>
      <c r="AA13" s="34" t="s">
        <v>36</v>
      </c>
      <c r="AB13" s="34" t="s">
        <v>36</v>
      </c>
      <c r="AC13" s="34" t="s">
        <v>36</v>
      </c>
      <c r="AD13" s="85"/>
      <c r="AE13" s="35">
        <v>2</v>
      </c>
      <c r="AF13" s="35">
        <v>2</v>
      </c>
      <c r="AG13" s="35">
        <v>1</v>
      </c>
      <c r="AH13" s="35">
        <v>3</v>
      </c>
      <c r="AI13" s="35"/>
      <c r="AJ13" s="35">
        <v>3</v>
      </c>
      <c r="AK13" s="35">
        <v>3</v>
      </c>
      <c r="AL13" s="35">
        <v>3</v>
      </c>
      <c r="AM13" s="35">
        <v>2</v>
      </c>
      <c r="AN13" s="35">
        <v>3</v>
      </c>
      <c r="AO13" s="38">
        <f t="shared" si="0"/>
        <v>22</v>
      </c>
      <c r="AP13" s="35"/>
      <c r="AQ13" s="35">
        <v>2</v>
      </c>
      <c r="AR13" s="35">
        <v>3</v>
      </c>
      <c r="AS13" s="35">
        <v>3</v>
      </c>
      <c r="AT13" s="35">
        <v>3</v>
      </c>
      <c r="AU13" s="35">
        <v>3</v>
      </c>
      <c r="AV13" s="35">
        <v>1</v>
      </c>
      <c r="AW13" s="35">
        <v>3</v>
      </c>
      <c r="AX13" s="35">
        <v>2</v>
      </c>
      <c r="AY13" s="35">
        <v>3</v>
      </c>
      <c r="AZ13" s="35">
        <v>3</v>
      </c>
      <c r="BA13" s="35">
        <v>2</v>
      </c>
      <c r="BB13" s="86">
        <f t="shared" si="1"/>
        <v>28</v>
      </c>
      <c r="BC13" s="35">
        <v>2</v>
      </c>
      <c r="BD13" s="35">
        <v>1</v>
      </c>
      <c r="BE13" s="35">
        <v>3</v>
      </c>
      <c r="BF13" s="35">
        <v>3</v>
      </c>
      <c r="BG13" s="35">
        <v>1</v>
      </c>
      <c r="BH13" s="35">
        <v>1</v>
      </c>
      <c r="BI13" s="35">
        <v>3</v>
      </c>
      <c r="BJ13" s="35">
        <v>3</v>
      </c>
      <c r="BK13" s="86">
        <f t="shared" si="2"/>
        <v>17</v>
      </c>
      <c r="BL13" s="35">
        <v>3</v>
      </c>
      <c r="BM13" s="35">
        <v>3</v>
      </c>
      <c r="BN13" s="35">
        <v>3</v>
      </c>
      <c r="BO13" s="35">
        <v>3</v>
      </c>
      <c r="BP13" s="35">
        <v>3</v>
      </c>
      <c r="BQ13" s="35">
        <v>1</v>
      </c>
      <c r="BR13" s="35">
        <v>1</v>
      </c>
      <c r="BS13" s="38">
        <f t="shared" si="3"/>
        <v>17</v>
      </c>
      <c r="BT13" s="88"/>
      <c r="BU13" s="88"/>
      <c r="BV13" s="36">
        <f t="shared" si="4"/>
        <v>84</v>
      </c>
      <c r="BW13" s="37" t="str">
        <f t="shared" si="5"/>
        <v>LOGRADO</v>
      </c>
    </row>
    <row r="14" spans="1:82" ht="24.75" customHeight="1" x14ac:dyDescent="0.25">
      <c r="A14" s="79">
        <v>11</v>
      </c>
      <c r="B14" s="80" t="s">
        <v>206</v>
      </c>
      <c r="C14" s="81" t="s">
        <v>207</v>
      </c>
      <c r="D14" s="81" t="s">
        <v>9</v>
      </c>
      <c r="E14" s="91">
        <v>4</v>
      </c>
      <c r="F14" s="93">
        <v>46124</v>
      </c>
      <c r="G14" s="82">
        <v>10</v>
      </c>
      <c r="H14" s="82">
        <v>254</v>
      </c>
      <c r="I14" s="82">
        <v>23</v>
      </c>
      <c r="J14" s="82" t="s">
        <v>37</v>
      </c>
      <c r="K14" s="82">
        <v>2</v>
      </c>
      <c r="L14" s="82">
        <v>1</v>
      </c>
      <c r="M14" s="100" t="s">
        <v>208</v>
      </c>
      <c r="N14" s="101" t="s">
        <v>209</v>
      </c>
      <c r="O14" s="100">
        <v>978288015</v>
      </c>
      <c r="P14" s="100" t="s">
        <v>185</v>
      </c>
      <c r="Q14" s="107" t="s">
        <v>210</v>
      </c>
      <c r="R14" s="103" t="s">
        <v>211</v>
      </c>
      <c r="S14" s="104" t="s">
        <v>212</v>
      </c>
      <c r="T14" s="104" t="s">
        <v>213</v>
      </c>
      <c r="U14" s="103" t="s">
        <v>134</v>
      </c>
      <c r="V14" s="108" t="s">
        <v>215</v>
      </c>
      <c r="W14" s="34" t="s">
        <v>36</v>
      </c>
      <c r="X14" s="34" t="s">
        <v>36</v>
      </c>
      <c r="Y14" s="34" t="s">
        <v>36</v>
      </c>
      <c r="Z14" s="34"/>
      <c r="AA14" s="34" t="s">
        <v>36</v>
      </c>
      <c r="AB14" s="34" t="s">
        <v>36</v>
      </c>
      <c r="AC14" s="34" t="s">
        <v>36</v>
      </c>
      <c r="AD14" s="85"/>
      <c r="AE14" s="35">
        <v>3</v>
      </c>
      <c r="AF14" s="35">
        <v>3</v>
      </c>
      <c r="AG14" s="35">
        <v>3</v>
      </c>
      <c r="AH14" s="35">
        <v>2</v>
      </c>
      <c r="AI14" s="35">
        <v>3</v>
      </c>
      <c r="AJ14" s="35">
        <v>3</v>
      </c>
      <c r="AK14" s="35">
        <v>3</v>
      </c>
      <c r="AL14" s="35">
        <v>3</v>
      </c>
      <c r="AM14" s="35">
        <v>2</v>
      </c>
      <c r="AN14" s="35">
        <v>3</v>
      </c>
      <c r="AO14" s="38">
        <f t="shared" si="0"/>
        <v>28</v>
      </c>
      <c r="AP14" s="35">
        <v>3</v>
      </c>
      <c r="AQ14" s="35">
        <v>2</v>
      </c>
      <c r="AR14" s="35">
        <v>3</v>
      </c>
      <c r="AS14" s="35">
        <v>3</v>
      </c>
      <c r="AT14" s="35">
        <v>1</v>
      </c>
      <c r="AU14" s="35">
        <v>2</v>
      </c>
      <c r="AV14" s="35">
        <v>2</v>
      </c>
      <c r="AW14" s="35">
        <v>3</v>
      </c>
      <c r="AX14" s="35">
        <v>1</v>
      </c>
      <c r="AY14" s="35">
        <v>3</v>
      </c>
      <c r="AZ14" s="35">
        <v>2</v>
      </c>
      <c r="BA14" s="35">
        <v>2</v>
      </c>
      <c r="BB14" s="86">
        <f t="shared" si="1"/>
        <v>27</v>
      </c>
      <c r="BC14" s="35">
        <v>2</v>
      </c>
      <c r="BD14" s="35">
        <v>2</v>
      </c>
      <c r="BE14" s="35">
        <v>2</v>
      </c>
      <c r="BF14" s="35">
        <v>2</v>
      </c>
      <c r="BG14" s="35">
        <v>2</v>
      </c>
      <c r="BH14" s="35">
        <v>2</v>
      </c>
      <c r="BI14" s="35">
        <v>2</v>
      </c>
      <c r="BJ14" s="35">
        <v>2</v>
      </c>
      <c r="BK14" s="86">
        <f t="shared" si="2"/>
        <v>16</v>
      </c>
      <c r="BL14" s="35">
        <v>3</v>
      </c>
      <c r="BM14" s="35">
        <v>3</v>
      </c>
      <c r="BN14" s="35">
        <v>3</v>
      </c>
      <c r="BO14" s="35">
        <v>3</v>
      </c>
      <c r="BP14" s="35">
        <v>3</v>
      </c>
      <c r="BQ14" s="35">
        <v>2</v>
      </c>
      <c r="BR14" s="35">
        <v>3</v>
      </c>
      <c r="BS14" s="38">
        <f t="shared" si="3"/>
        <v>20</v>
      </c>
      <c r="BT14" s="88"/>
      <c r="BU14" s="88"/>
      <c r="BV14" s="36">
        <f t="shared" si="4"/>
        <v>91</v>
      </c>
      <c r="BW14" s="37" t="str">
        <f t="shared" si="5"/>
        <v>LOGRADO</v>
      </c>
    </row>
    <row r="15" spans="1:82" ht="23.25" customHeight="1" x14ac:dyDescent="0.25">
      <c r="A15" s="79">
        <v>12</v>
      </c>
      <c r="B15" s="80" t="s">
        <v>216</v>
      </c>
      <c r="C15" s="81" t="s">
        <v>217</v>
      </c>
      <c r="D15" s="81" t="s">
        <v>132</v>
      </c>
      <c r="E15" s="91">
        <v>3</v>
      </c>
      <c r="F15" s="93"/>
      <c r="G15" s="82">
        <v>19</v>
      </c>
      <c r="H15" s="82">
        <v>540</v>
      </c>
      <c r="I15" s="82">
        <v>38</v>
      </c>
      <c r="J15" s="82" t="s">
        <v>37</v>
      </c>
      <c r="K15" s="82">
        <v>3</v>
      </c>
      <c r="L15" s="82">
        <v>1</v>
      </c>
      <c r="M15" s="100" t="s">
        <v>218</v>
      </c>
      <c r="N15" s="101" t="s">
        <v>219</v>
      </c>
      <c r="O15" s="100">
        <v>960536634</v>
      </c>
      <c r="P15" s="100" t="s">
        <v>134</v>
      </c>
      <c r="Q15" s="107" t="s">
        <v>220</v>
      </c>
      <c r="R15" s="103" t="s">
        <v>221</v>
      </c>
      <c r="S15" s="104" t="s">
        <v>222</v>
      </c>
      <c r="T15" s="103">
        <v>955739796</v>
      </c>
      <c r="U15" s="103" t="s">
        <v>134</v>
      </c>
      <c r="V15" s="108" t="s">
        <v>223</v>
      </c>
      <c r="W15" s="34" t="s">
        <v>36</v>
      </c>
      <c r="X15" s="34" t="s">
        <v>36</v>
      </c>
      <c r="Y15" s="34" t="s">
        <v>37</v>
      </c>
      <c r="Z15" s="34"/>
      <c r="AA15" s="34" t="s">
        <v>36</v>
      </c>
      <c r="AB15" s="34" t="s">
        <v>36</v>
      </c>
      <c r="AC15" s="34" t="s">
        <v>36</v>
      </c>
      <c r="AD15" s="85"/>
      <c r="AE15" s="35">
        <v>3</v>
      </c>
      <c r="AF15" s="35">
        <v>3</v>
      </c>
      <c r="AG15" s="35">
        <v>3</v>
      </c>
      <c r="AH15" s="35">
        <v>2</v>
      </c>
      <c r="AI15" s="35">
        <v>3</v>
      </c>
      <c r="AJ15" s="35">
        <v>3</v>
      </c>
      <c r="AK15" s="35">
        <v>3</v>
      </c>
      <c r="AL15" s="35">
        <v>3</v>
      </c>
      <c r="AM15" s="35">
        <v>2</v>
      </c>
      <c r="AN15" s="35">
        <v>3</v>
      </c>
      <c r="AO15" s="38">
        <f t="shared" si="0"/>
        <v>28</v>
      </c>
      <c r="AP15" s="35">
        <v>3</v>
      </c>
      <c r="AQ15" s="35">
        <v>2</v>
      </c>
      <c r="AR15" s="35">
        <v>3</v>
      </c>
      <c r="AS15" s="35">
        <v>3</v>
      </c>
      <c r="AT15" s="35">
        <v>1</v>
      </c>
      <c r="AU15" s="35">
        <v>3</v>
      </c>
      <c r="AV15" s="35">
        <v>2</v>
      </c>
      <c r="AW15" s="35">
        <v>3</v>
      </c>
      <c r="AX15" s="35">
        <v>2</v>
      </c>
      <c r="AY15" s="35">
        <v>3</v>
      </c>
      <c r="AZ15" s="35">
        <v>2</v>
      </c>
      <c r="BA15" s="35">
        <v>3</v>
      </c>
      <c r="BB15" s="86">
        <f t="shared" si="1"/>
        <v>30</v>
      </c>
      <c r="BC15" s="35">
        <v>2</v>
      </c>
      <c r="BD15" s="35">
        <v>2</v>
      </c>
      <c r="BE15" s="35">
        <v>2</v>
      </c>
      <c r="BF15" s="35">
        <v>2</v>
      </c>
      <c r="BG15" s="35">
        <v>2</v>
      </c>
      <c r="BH15" s="35">
        <v>3</v>
      </c>
      <c r="BI15" s="35">
        <v>2</v>
      </c>
      <c r="BJ15" s="35">
        <v>3</v>
      </c>
      <c r="BK15" s="86">
        <f t="shared" si="2"/>
        <v>18</v>
      </c>
      <c r="BL15" s="35">
        <v>2</v>
      </c>
      <c r="BM15" s="35">
        <v>3</v>
      </c>
      <c r="BN15" s="35">
        <v>3</v>
      </c>
      <c r="BO15" s="35">
        <v>3</v>
      </c>
      <c r="BP15" s="35">
        <v>3</v>
      </c>
      <c r="BQ15" s="35">
        <v>3</v>
      </c>
      <c r="BR15" s="35">
        <v>3</v>
      </c>
      <c r="BS15" s="38">
        <f t="shared" si="3"/>
        <v>20</v>
      </c>
      <c r="BT15" s="88"/>
      <c r="BU15" s="84"/>
      <c r="BV15" s="36">
        <f t="shared" si="4"/>
        <v>96</v>
      </c>
      <c r="BW15" s="37" t="str">
        <f t="shared" si="5"/>
        <v>LOGRADO</v>
      </c>
    </row>
    <row r="16" spans="1:82" ht="23.25" customHeight="1" x14ac:dyDescent="0.25">
      <c r="A16" s="79">
        <v>13</v>
      </c>
      <c r="B16" s="80" t="s">
        <v>224</v>
      </c>
      <c r="C16" s="81" t="s">
        <v>225</v>
      </c>
      <c r="D16" s="81" t="s">
        <v>132</v>
      </c>
      <c r="E16" s="91">
        <v>11</v>
      </c>
      <c r="F16" s="93">
        <v>46149</v>
      </c>
      <c r="G16" s="82">
        <v>11</v>
      </c>
      <c r="H16" s="82">
        <v>256</v>
      </c>
      <c r="I16" s="82">
        <v>23</v>
      </c>
      <c r="J16" s="82" t="s">
        <v>37</v>
      </c>
      <c r="K16" s="82">
        <v>2</v>
      </c>
      <c r="L16" s="82">
        <v>1</v>
      </c>
      <c r="M16" s="100" t="s">
        <v>226</v>
      </c>
      <c r="N16" s="101" t="s">
        <v>227</v>
      </c>
      <c r="O16" s="100">
        <v>955093482</v>
      </c>
      <c r="P16" s="100" t="s">
        <v>228</v>
      </c>
      <c r="Q16" s="107" t="s">
        <v>229</v>
      </c>
      <c r="R16" s="103" t="s">
        <v>230</v>
      </c>
      <c r="S16" s="104" t="s">
        <v>231</v>
      </c>
      <c r="T16" s="103">
        <v>991216508</v>
      </c>
      <c r="U16" s="103" t="s">
        <v>134</v>
      </c>
      <c r="V16" s="108" t="s">
        <v>232</v>
      </c>
      <c r="W16" s="34" t="s">
        <v>36</v>
      </c>
      <c r="X16" s="34" t="s">
        <v>36</v>
      </c>
      <c r="Y16" s="34" t="s">
        <v>37</v>
      </c>
      <c r="Z16" s="34"/>
      <c r="AA16" s="34" t="s">
        <v>36</v>
      </c>
      <c r="AB16" s="34" t="s">
        <v>36</v>
      </c>
      <c r="AC16" s="34" t="s">
        <v>36</v>
      </c>
      <c r="AD16" s="85"/>
      <c r="AE16" s="35">
        <v>2</v>
      </c>
      <c r="AF16" s="35">
        <v>1</v>
      </c>
      <c r="AG16" s="35">
        <v>2</v>
      </c>
      <c r="AH16" s="35">
        <v>3</v>
      </c>
      <c r="AI16" s="35">
        <v>2</v>
      </c>
      <c r="AJ16" s="35">
        <v>3</v>
      </c>
      <c r="AK16" s="35">
        <v>3</v>
      </c>
      <c r="AL16" s="35">
        <v>3</v>
      </c>
      <c r="AM16" s="35">
        <v>3</v>
      </c>
      <c r="AN16" s="35">
        <v>3</v>
      </c>
      <c r="AO16" s="38">
        <f t="shared" si="0"/>
        <v>25</v>
      </c>
      <c r="AP16" s="35">
        <v>3</v>
      </c>
      <c r="AQ16" s="35">
        <v>2</v>
      </c>
      <c r="AR16" s="35">
        <v>3</v>
      </c>
      <c r="AS16" s="35">
        <v>3</v>
      </c>
      <c r="AT16" s="35">
        <v>1</v>
      </c>
      <c r="AU16" s="35">
        <v>2</v>
      </c>
      <c r="AV16" s="35">
        <v>2</v>
      </c>
      <c r="AW16" s="35">
        <v>3</v>
      </c>
      <c r="AX16" s="35">
        <v>2</v>
      </c>
      <c r="AY16" s="35">
        <v>3</v>
      </c>
      <c r="AZ16" s="35">
        <v>3</v>
      </c>
      <c r="BA16" s="35">
        <v>3</v>
      </c>
      <c r="BB16" s="86">
        <f t="shared" si="1"/>
        <v>30</v>
      </c>
      <c r="BC16" s="35">
        <v>2</v>
      </c>
      <c r="BD16" s="35">
        <v>2</v>
      </c>
      <c r="BE16" s="35">
        <v>3</v>
      </c>
      <c r="BF16" s="35">
        <v>3</v>
      </c>
      <c r="BG16" s="35">
        <v>1</v>
      </c>
      <c r="BH16" s="35">
        <v>2</v>
      </c>
      <c r="BI16" s="35">
        <v>3</v>
      </c>
      <c r="BJ16" s="35">
        <v>2</v>
      </c>
      <c r="BK16" s="86">
        <f t="shared" si="2"/>
        <v>18</v>
      </c>
      <c r="BL16" s="35">
        <v>2</v>
      </c>
      <c r="BM16" s="35">
        <v>3</v>
      </c>
      <c r="BN16" s="35">
        <v>3</v>
      </c>
      <c r="BO16" s="35">
        <v>3</v>
      </c>
      <c r="BP16" s="35">
        <v>3</v>
      </c>
      <c r="BQ16" s="35">
        <v>2</v>
      </c>
      <c r="BR16" s="35">
        <v>2</v>
      </c>
      <c r="BS16" s="38">
        <f t="shared" si="3"/>
        <v>18</v>
      </c>
      <c r="BT16" s="88"/>
      <c r="BU16" s="88"/>
      <c r="BV16" s="36">
        <f t="shared" si="4"/>
        <v>91</v>
      </c>
      <c r="BW16" s="37" t="str">
        <f t="shared" si="5"/>
        <v>LOGRADO</v>
      </c>
    </row>
    <row r="17" spans="1:75" ht="23.25" customHeight="1" x14ac:dyDescent="0.25">
      <c r="A17" s="79">
        <v>14</v>
      </c>
      <c r="B17" s="80" t="s">
        <v>233</v>
      </c>
      <c r="C17" s="81" t="s">
        <v>234</v>
      </c>
      <c r="D17" s="81" t="s">
        <v>9</v>
      </c>
      <c r="E17" s="91">
        <v>2</v>
      </c>
      <c r="F17" s="94">
        <v>46153</v>
      </c>
      <c r="G17" s="82">
        <v>6</v>
      </c>
      <c r="H17" s="82">
        <v>105</v>
      </c>
      <c r="I17" s="82"/>
      <c r="J17" s="82" t="s">
        <v>37</v>
      </c>
      <c r="K17" s="82">
        <v>1</v>
      </c>
      <c r="L17" s="82">
        <v>1</v>
      </c>
      <c r="M17" s="100" t="s">
        <v>235</v>
      </c>
      <c r="N17" s="101" t="s">
        <v>236</v>
      </c>
      <c r="O17" s="100">
        <v>998099606</v>
      </c>
      <c r="P17" s="100" t="s">
        <v>214</v>
      </c>
      <c r="Q17" s="107" t="s">
        <v>237</v>
      </c>
      <c r="R17" s="103"/>
      <c r="S17" s="104"/>
      <c r="T17" s="103"/>
      <c r="U17" s="103"/>
      <c r="V17" s="103"/>
      <c r="W17" s="34" t="s">
        <v>36</v>
      </c>
      <c r="X17" s="34" t="s">
        <v>36</v>
      </c>
      <c r="Y17" s="34" t="s">
        <v>36</v>
      </c>
      <c r="Z17" s="34"/>
      <c r="AA17" s="34" t="s">
        <v>36</v>
      </c>
      <c r="AB17" s="34" t="s">
        <v>36</v>
      </c>
      <c r="AC17" s="34" t="s">
        <v>36</v>
      </c>
      <c r="AD17" s="85"/>
      <c r="AE17" s="35">
        <v>2</v>
      </c>
      <c r="AF17" s="35">
        <v>3</v>
      </c>
      <c r="AG17" s="35">
        <v>2</v>
      </c>
      <c r="AH17" s="35">
        <v>3</v>
      </c>
      <c r="AI17" s="35">
        <v>2</v>
      </c>
      <c r="AJ17" s="35">
        <v>3</v>
      </c>
      <c r="AK17" s="35">
        <v>3</v>
      </c>
      <c r="AL17" s="35">
        <v>3</v>
      </c>
      <c r="AM17" s="35">
        <v>3</v>
      </c>
      <c r="AN17" s="35">
        <v>3</v>
      </c>
      <c r="AO17" s="38">
        <f t="shared" si="0"/>
        <v>27</v>
      </c>
      <c r="AP17" s="35">
        <v>3</v>
      </c>
      <c r="AQ17" s="35">
        <v>1</v>
      </c>
      <c r="AR17" s="35">
        <v>2</v>
      </c>
      <c r="AS17" s="35">
        <v>3</v>
      </c>
      <c r="AT17" s="35">
        <v>1</v>
      </c>
      <c r="AU17" s="35">
        <v>2</v>
      </c>
      <c r="AV17" s="35">
        <v>2</v>
      </c>
      <c r="AW17" s="35">
        <v>3</v>
      </c>
      <c r="AX17" s="35">
        <v>1</v>
      </c>
      <c r="AY17" s="35">
        <v>3</v>
      </c>
      <c r="AZ17" s="35">
        <v>3</v>
      </c>
      <c r="BA17" s="35">
        <v>2</v>
      </c>
      <c r="BB17" s="86">
        <f t="shared" si="1"/>
        <v>26</v>
      </c>
      <c r="BC17" s="35">
        <v>2</v>
      </c>
      <c r="BD17" s="35">
        <v>3</v>
      </c>
      <c r="BE17" s="35">
        <v>1</v>
      </c>
      <c r="BF17" s="35">
        <v>1</v>
      </c>
      <c r="BG17" s="35">
        <v>2</v>
      </c>
      <c r="BH17" s="35">
        <v>3</v>
      </c>
      <c r="BI17" s="35">
        <v>2</v>
      </c>
      <c r="BJ17" s="35">
        <v>3</v>
      </c>
      <c r="BK17" s="86">
        <f t="shared" si="2"/>
        <v>17</v>
      </c>
      <c r="BL17" s="35">
        <v>2</v>
      </c>
      <c r="BM17" s="35">
        <v>2</v>
      </c>
      <c r="BN17" s="35">
        <v>3</v>
      </c>
      <c r="BO17" s="35">
        <v>3</v>
      </c>
      <c r="BP17" s="35">
        <v>3</v>
      </c>
      <c r="BQ17" s="35">
        <v>2</v>
      </c>
      <c r="BR17" s="35">
        <v>3</v>
      </c>
      <c r="BS17" s="38">
        <f t="shared" si="3"/>
        <v>18</v>
      </c>
      <c r="BT17" s="87"/>
      <c r="BU17" s="84"/>
      <c r="BV17" s="36">
        <f t="shared" si="4"/>
        <v>88</v>
      </c>
      <c r="BW17" s="37" t="str">
        <f t="shared" si="5"/>
        <v>LOGRADO</v>
      </c>
    </row>
    <row r="18" spans="1:75" ht="23.25" customHeight="1" x14ac:dyDescent="0.25">
      <c r="A18" s="79">
        <v>15</v>
      </c>
      <c r="B18" s="80" t="s">
        <v>238</v>
      </c>
      <c r="C18" s="81" t="s">
        <v>239</v>
      </c>
      <c r="D18" s="81" t="s">
        <v>9</v>
      </c>
      <c r="E18" s="91">
        <v>3</v>
      </c>
      <c r="F18" s="94">
        <v>46153</v>
      </c>
      <c r="G18" s="82">
        <v>12</v>
      </c>
      <c r="H18" s="82">
        <v>3</v>
      </c>
      <c r="I18" s="82"/>
      <c r="J18" s="82" t="s">
        <v>37</v>
      </c>
      <c r="K18" s="82">
        <v>1</v>
      </c>
      <c r="L18" s="82">
        <v>1</v>
      </c>
      <c r="M18" s="100" t="s">
        <v>240</v>
      </c>
      <c r="N18" s="101" t="s">
        <v>239</v>
      </c>
      <c r="O18" s="100">
        <v>969714910</v>
      </c>
      <c r="P18" s="100" t="s">
        <v>134</v>
      </c>
      <c r="Q18" s="107" t="s">
        <v>241</v>
      </c>
      <c r="R18" s="103" t="s">
        <v>242</v>
      </c>
      <c r="S18" s="104" t="s">
        <v>243</v>
      </c>
      <c r="T18" s="103">
        <v>944234762</v>
      </c>
      <c r="U18" s="103" t="s">
        <v>185</v>
      </c>
      <c r="V18" s="108" t="s">
        <v>244</v>
      </c>
      <c r="W18" s="34" t="s">
        <v>36</v>
      </c>
      <c r="X18" s="34" t="s">
        <v>37</v>
      </c>
      <c r="Y18" s="34" t="s">
        <v>36</v>
      </c>
      <c r="Z18" s="34"/>
      <c r="AA18" s="34" t="s">
        <v>36</v>
      </c>
      <c r="AB18" s="34" t="s">
        <v>36</v>
      </c>
      <c r="AC18" s="34" t="s">
        <v>36</v>
      </c>
      <c r="AD18" s="85"/>
      <c r="AE18" s="35">
        <v>2</v>
      </c>
      <c r="AF18" s="35">
        <v>3</v>
      </c>
      <c r="AG18" s="35">
        <v>2</v>
      </c>
      <c r="AH18" s="35">
        <v>2</v>
      </c>
      <c r="AI18" s="35">
        <v>3</v>
      </c>
      <c r="AJ18" s="35">
        <v>3</v>
      </c>
      <c r="AK18" s="35">
        <v>3</v>
      </c>
      <c r="AL18" s="35">
        <v>3</v>
      </c>
      <c r="AM18" s="35">
        <v>3</v>
      </c>
      <c r="AN18" s="35">
        <v>3</v>
      </c>
      <c r="AO18" s="38">
        <f t="shared" si="0"/>
        <v>27</v>
      </c>
      <c r="AP18" s="35">
        <v>3</v>
      </c>
      <c r="AQ18" s="35">
        <v>1</v>
      </c>
      <c r="AR18" s="35">
        <v>2</v>
      </c>
      <c r="AS18" s="35">
        <v>3</v>
      </c>
      <c r="AT18" s="35">
        <v>2</v>
      </c>
      <c r="AU18" s="35">
        <v>3</v>
      </c>
      <c r="AV18" s="35">
        <v>1</v>
      </c>
      <c r="AW18" s="35">
        <v>2</v>
      </c>
      <c r="AX18" s="35">
        <v>1</v>
      </c>
      <c r="AY18" s="35">
        <v>3</v>
      </c>
      <c r="AZ18" s="35">
        <v>3</v>
      </c>
      <c r="BA18" s="35">
        <v>2</v>
      </c>
      <c r="BB18" s="86">
        <f t="shared" si="1"/>
        <v>26</v>
      </c>
      <c r="BC18" s="35">
        <v>2</v>
      </c>
      <c r="BD18" s="35">
        <v>3</v>
      </c>
      <c r="BE18" s="35">
        <v>2</v>
      </c>
      <c r="BF18" s="35">
        <v>2</v>
      </c>
      <c r="BG18" s="35">
        <v>2</v>
      </c>
      <c r="BH18" s="35">
        <v>3</v>
      </c>
      <c r="BI18" s="35">
        <v>2</v>
      </c>
      <c r="BJ18" s="35">
        <v>2</v>
      </c>
      <c r="BK18" s="86">
        <f t="shared" si="2"/>
        <v>18</v>
      </c>
      <c r="BL18" s="35">
        <v>1</v>
      </c>
      <c r="BM18" s="35">
        <v>1</v>
      </c>
      <c r="BN18" s="35">
        <v>3</v>
      </c>
      <c r="BO18" s="35">
        <v>3</v>
      </c>
      <c r="BP18" s="35">
        <v>1</v>
      </c>
      <c r="BQ18" s="35">
        <v>1</v>
      </c>
      <c r="BR18" s="35">
        <v>1</v>
      </c>
      <c r="BS18" s="38">
        <f t="shared" si="3"/>
        <v>11</v>
      </c>
      <c r="BT18" s="87"/>
      <c r="BU18" s="84"/>
      <c r="BV18" s="36">
        <f t="shared" si="4"/>
        <v>82</v>
      </c>
      <c r="BW18" s="37" t="str">
        <f t="shared" si="5"/>
        <v>PROCESO</v>
      </c>
    </row>
    <row r="19" spans="1:75" ht="23.25" customHeight="1" x14ac:dyDescent="0.25">
      <c r="A19" s="79">
        <v>16</v>
      </c>
      <c r="B19" s="80" t="s">
        <v>44</v>
      </c>
      <c r="C19" s="81"/>
      <c r="D19" s="81" t="s">
        <v>132</v>
      </c>
      <c r="E19" s="91">
        <v>3</v>
      </c>
      <c r="F19" s="94">
        <v>46153</v>
      </c>
      <c r="G19" s="82">
        <v>50</v>
      </c>
      <c r="H19" s="82"/>
      <c r="I19" s="82"/>
      <c r="J19" s="82" t="s">
        <v>37</v>
      </c>
      <c r="K19" s="82">
        <v>5</v>
      </c>
      <c r="L19" s="82"/>
      <c r="M19" s="100" t="s">
        <v>245</v>
      </c>
      <c r="N19" s="101" t="s">
        <v>246</v>
      </c>
      <c r="O19" s="100">
        <v>988313929</v>
      </c>
      <c r="P19" s="100" t="s">
        <v>134</v>
      </c>
      <c r="Q19" s="107" t="s">
        <v>247</v>
      </c>
      <c r="R19" s="103"/>
      <c r="S19" s="104"/>
      <c r="T19" s="103"/>
      <c r="U19" s="103"/>
      <c r="V19" s="103"/>
      <c r="W19" s="34" t="s">
        <v>36</v>
      </c>
      <c r="X19" s="34" t="s">
        <v>36</v>
      </c>
      <c r="Y19" s="34" t="s">
        <v>36</v>
      </c>
      <c r="Z19" s="34"/>
      <c r="AA19" s="34" t="s">
        <v>36</v>
      </c>
      <c r="AB19" s="34" t="s">
        <v>36</v>
      </c>
      <c r="AC19" s="34" t="s">
        <v>36</v>
      </c>
      <c r="AD19" s="85"/>
      <c r="AE19" s="35">
        <v>2</v>
      </c>
      <c r="AF19" s="35">
        <v>2</v>
      </c>
      <c r="AG19" s="35">
        <v>2</v>
      </c>
      <c r="AH19" s="35">
        <v>2</v>
      </c>
      <c r="AI19" s="35">
        <v>3</v>
      </c>
      <c r="AJ19" s="35">
        <v>3</v>
      </c>
      <c r="AK19" s="35">
        <v>3</v>
      </c>
      <c r="AL19" s="35">
        <v>2</v>
      </c>
      <c r="AM19" s="35">
        <v>2</v>
      </c>
      <c r="AN19" s="35">
        <v>3</v>
      </c>
      <c r="AO19" s="38">
        <f t="shared" si="0"/>
        <v>24</v>
      </c>
      <c r="AP19" s="35">
        <v>2</v>
      </c>
      <c r="AQ19" s="35">
        <v>2</v>
      </c>
      <c r="AR19" s="35">
        <v>2</v>
      </c>
      <c r="AS19" s="35">
        <v>3</v>
      </c>
      <c r="AT19" s="35">
        <v>3</v>
      </c>
      <c r="AU19" s="35">
        <v>3</v>
      </c>
      <c r="AV19" s="35">
        <v>3</v>
      </c>
      <c r="AW19" s="35">
        <v>3</v>
      </c>
      <c r="AX19" s="35">
        <v>2</v>
      </c>
      <c r="AY19" s="35">
        <v>3</v>
      </c>
      <c r="AZ19" s="35">
        <v>3</v>
      </c>
      <c r="BA19" s="35">
        <v>2</v>
      </c>
      <c r="BB19" s="86">
        <f t="shared" si="1"/>
        <v>31</v>
      </c>
      <c r="BC19" s="35">
        <v>2</v>
      </c>
      <c r="BD19" s="35">
        <v>3</v>
      </c>
      <c r="BE19" s="35">
        <v>2</v>
      </c>
      <c r="BF19" s="35">
        <v>2</v>
      </c>
      <c r="BG19" s="35">
        <v>1</v>
      </c>
      <c r="BH19" s="35">
        <v>3</v>
      </c>
      <c r="BI19" s="35">
        <v>2</v>
      </c>
      <c r="BJ19" s="35">
        <v>3</v>
      </c>
      <c r="BK19" s="86">
        <f t="shared" si="2"/>
        <v>18</v>
      </c>
      <c r="BL19" s="35">
        <v>2</v>
      </c>
      <c r="BM19" s="35">
        <v>3</v>
      </c>
      <c r="BN19" s="35">
        <v>3</v>
      </c>
      <c r="BO19" s="35">
        <v>3</v>
      </c>
      <c r="BP19" s="35">
        <v>3</v>
      </c>
      <c r="BQ19" s="35">
        <v>3</v>
      </c>
      <c r="BR19" s="35">
        <v>3</v>
      </c>
      <c r="BS19" s="38">
        <f t="shared" si="3"/>
        <v>20</v>
      </c>
      <c r="BT19" s="87"/>
      <c r="BU19" s="84"/>
      <c r="BV19" s="36">
        <f t="shared" si="4"/>
        <v>93</v>
      </c>
      <c r="BW19" s="37" t="str">
        <f t="shared" si="5"/>
        <v>LOGRADO</v>
      </c>
    </row>
    <row r="20" spans="1:75" ht="23.25" customHeight="1" x14ac:dyDescent="0.25">
      <c r="A20" s="79">
        <v>17</v>
      </c>
      <c r="B20" s="80" t="s">
        <v>248</v>
      </c>
      <c r="C20" s="81" t="s">
        <v>249</v>
      </c>
      <c r="D20" s="81" t="s">
        <v>9</v>
      </c>
      <c r="E20" s="91">
        <v>6</v>
      </c>
      <c r="F20" s="94">
        <v>46155</v>
      </c>
      <c r="G20" s="82">
        <v>11</v>
      </c>
      <c r="H20" s="82">
        <v>274</v>
      </c>
      <c r="I20" s="82"/>
      <c r="J20" s="82" t="s">
        <v>37</v>
      </c>
      <c r="K20" s="82">
        <v>2</v>
      </c>
      <c r="L20" s="82">
        <v>1</v>
      </c>
      <c r="M20" s="100" t="s">
        <v>250</v>
      </c>
      <c r="N20" s="101" t="s">
        <v>251</v>
      </c>
      <c r="O20" s="100">
        <v>976160693</v>
      </c>
      <c r="P20" s="100" t="s">
        <v>134</v>
      </c>
      <c r="Q20" s="107" t="s">
        <v>252</v>
      </c>
      <c r="R20" s="103" t="s">
        <v>253</v>
      </c>
      <c r="S20" s="104" t="s">
        <v>254</v>
      </c>
      <c r="T20" s="103">
        <v>981206942</v>
      </c>
      <c r="U20" s="103" t="s">
        <v>134</v>
      </c>
      <c r="V20" s="108" t="s">
        <v>255</v>
      </c>
      <c r="W20" s="34" t="s">
        <v>36</v>
      </c>
      <c r="X20" s="34" t="s">
        <v>36</v>
      </c>
      <c r="Y20" s="34" t="s">
        <v>36</v>
      </c>
      <c r="Z20" s="34"/>
      <c r="AA20" s="34" t="s">
        <v>36</v>
      </c>
      <c r="AB20" s="34" t="s">
        <v>36</v>
      </c>
      <c r="AC20" s="34" t="s">
        <v>36</v>
      </c>
      <c r="AD20" s="85"/>
      <c r="AE20" s="35">
        <v>3</v>
      </c>
      <c r="AF20" s="35">
        <v>2</v>
      </c>
      <c r="AG20" s="35">
        <v>3</v>
      </c>
      <c r="AH20" s="35">
        <v>3</v>
      </c>
      <c r="AI20" s="35">
        <v>3</v>
      </c>
      <c r="AJ20" s="35">
        <v>3</v>
      </c>
      <c r="AK20" s="35">
        <v>3</v>
      </c>
      <c r="AL20" s="35">
        <v>3</v>
      </c>
      <c r="AM20" s="35">
        <v>3</v>
      </c>
      <c r="AN20" s="35">
        <v>3</v>
      </c>
      <c r="AO20" s="38">
        <f t="shared" si="0"/>
        <v>29</v>
      </c>
      <c r="AP20" s="35">
        <v>3</v>
      </c>
      <c r="AQ20" s="35">
        <v>3</v>
      </c>
      <c r="AR20" s="35">
        <v>3</v>
      </c>
      <c r="AS20" s="35">
        <v>3</v>
      </c>
      <c r="AT20" s="35">
        <v>1</v>
      </c>
      <c r="AU20" s="35">
        <v>3</v>
      </c>
      <c r="AV20" s="35">
        <v>2</v>
      </c>
      <c r="AW20" s="35">
        <v>3</v>
      </c>
      <c r="AX20" s="35">
        <v>1</v>
      </c>
      <c r="AY20" s="35">
        <v>3</v>
      </c>
      <c r="AZ20" s="35">
        <v>3</v>
      </c>
      <c r="BA20" s="35">
        <v>3</v>
      </c>
      <c r="BB20" s="86">
        <f t="shared" si="1"/>
        <v>31</v>
      </c>
      <c r="BC20" s="35">
        <v>2</v>
      </c>
      <c r="BD20" s="35">
        <v>3</v>
      </c>
      <c r="BE20" s="35">
        <v>2</v>
      </c>
      <c r="BF20" s="35">
        <v>2</v>
      </c>
      <c r="BG20" s="35">
        <v>1</v>
      </c>
      <c r="BH20" s="35">
        <v>2</v>
      </c>
      <c r="BI20" s="35">
        <v>1</v>
      </c>
      <c r="BJ20" s="35">
        <v>1</v>
      </c>
      <c r="BK20" s="86">
        <f t="shared" si="2"/>
        <v>14</v>
      </c>
      <c r="BL20" s="35">
        <v>3</v>
      </c>
      <c r="BM20" s="35">
        <v>3</v>
      </c>
      <c r="BN20" s="35">
        <v>3</v>
      </c>
      <c r="BO20" s="35">
        <v>3</v>
      </c>
      <c r="BP20" s="35">
        <v>3</v>
      </c>
      <c r="BQ20" s="35">
        <v>3</v>
      </c>
      <c r="BR20" s="35">
        <v>3</v>
      </c>
      <c r="BS20" s="38">
        <f>SUM(BL20:BR20)</f>
        <v>21</v>
      </c>
      <c r="BT20" s="87"/>
      <c r="BU20" s="84"/>
      <c r="BV20" s="36">
        <f t="shared" si="4"/>
        <v>95</v>
      </c>
      <c r="BW20" s="37" t="str">
        <f t="shared" si="5"/>
        <v>LOGRADO</v>
      </c>
    </row>
    <row r="21" spans="1:75" ht="23.25" customHeight="1" x14ac:dyDescent="0.25">
      <c r="A21" s="79">
        <v>18</v>
      </c>
      <c r="B21" s="80" t="s">
        <v>256</v>
      </c>
      <c r="C21" s="81" t="s">
        <v>257</v>
      </c>
      <c r="D21" s="81" t="s">
        <v>132</v>
      </c>
      <c r="E21" s="91"/>
      <c r="F21" s="94">
        <v>46155</v>
      </c>
      <c r="G21" s="82">
        <v>7</v>
      </c>
      <c r="H21" s="82">
        <v>222</v>
      </c>
      <c r="I21" s="82">
        <v>16</v>
      </c>
      <c r="J21" s="82" t="s">
        <v>37</v>
      </c>
      <c r="K21" s="82">
        <v>1</v>
      </c>
      <c r="L21" s="82">
        <v>1</v>
      </c>
      <c r="M21" s="100" t="s">
        <v>258</v>
      </c>
      <c r="N21" s="101" t="s">
        <v>259</v>
      </c>
      <c r="O21" s="100">
        <v>967416204</v>
      </c>
      <c r="P21" s="100" t="s">
        <v>134</v>
      </c>
      <c r="Q21" s="107" t="s">
        <v>260</v>
      </c>
      <c r="R21" s="103"/>
      <c r="S21" s="104"/>
      <c r="T21" s="103"/>
      <c r="U21" s="103"/>
      <c r="V21" s="103"/>
      <c r="W21" s="34" t="s">
        <v>36</v>
      </c>
      <c r="X21" s="34" t="s">
        <v>36</v>
      </c>
      <c r="Y21" s="34" t="s">
        <v>36</v>
      </c>
      <c r="Z21" s="34"/>
      <c r="AA21" s="34" t="s">
        <v>36</v>
      </c>
      <c r="AB21" s="34" t="s">
        <v>36</v>
      </c>
      <c r="AC21" s="34" t="s">
        <v>36</v>
      </c>
      <c r="AD21" s="85"/>
      <c r="AE21" s="35">
        <v>2</v>
      </c>
      <c r="AF21" s="35">
        <v>2</v>
      </c>
      <c r="AG21" s="35">
        <v>2</v>
      </c>
      <c r="AH21" s="35">
        <v>2</v>
      </c>
      <c r="AI21" s="35">
        <v>3</v>
      </c>
      <c r="AJ21" s="35">
        <v>3</v>
      </c>
      <c r="AK21" s="35">
        <v>3</v>
      </c>
      <c r="AL21" s="35">
        <v>2</v>
      </c>
      <c r="AM21" s="35">
        <v>3</v>
      </c>
      <c r="AN21" s="35">
        <v>3</v>
      </c>
      <c r="AO21" s="38">
        <f t="shared" si="0"/>
        <v>25</v>
      </c>
      <c r="AP21" s="35">
        <v>3</v>
      </c>
      <c r="AQ21" s="35">
        <v>1</v>
      </c>
      <c r="AR21" s="35">
        <v>1</v>
      </c>
      <c r="AS21" s="35">
        <v>1</v>
      </c>
      <c r="AT21" s="35">
        <v>1</v>
      </c>
      <c r="AU21" s="35">
        <v>1</v>
      </c>
      <c r="AV21" s="35">
        <v>1</v>
      </c>
      <c r="AW21" s="35">
        <v>2</v>
      </c>
      <c r="AX21" s="35">
        <v>1</v>
      </c>
      <c r="AY21" s="35">
        <v>3</v>
      </c>
      <c r="AZ21" s="35">
        <v>1</v>
      </c>
      <c r="BA21" s="35">
        <v>2</v>
      </c>
      <c r="BB21" s="86">
        <f t="shared" si="1"/>
        <v>18</v>
      </c>
      <c r="BC21" s="35">
        <v>2</v>
      </c>
      <c r="BD21" s="35">
        <v>3</v>
      </c>
      <c r="BE21" s="35">
        <v>3</v>
      </c>
      <c r="BF21" s="35">
        <v>2</v>
      </c>
      <c r="BG21" s="35">
        <v>1</v>
      </c>
      <c r="BH21" s="35">
        <v>1</v>
      </c>
      <c r="BI21" s="35">
        <v>2</v>
      </c>
      <c r="BJ21" s="35">
        <v>3</v>
      </c>
      <c r="BK21" s="86">
        <f t="shared" si="2"/>
        <v>17</v>
      </c>
      <c r="BL21" s="35">
        <v>3</v>
      </c>
      <c r="BM21" s="35">
        <v>3</v>
      </c>
      <c r="BN21" s="35">
        <v>3</v>
      </c>
      <c r="BO21" s="35">
        <v>3</v>
      </c>
      <c r="BP21" s="35">
        <v>3</v>
      </c>
      <c r="BQ21" s="35">
        <v>3</v>
      </c>
      <c r="BR21" s="35">
        <v>2</v>
      </c>
      <c r="BS21" s="38">
        <f t="shared" si="3"/>
        <v>20</v>
      </c>
      <c r="BT21" s="87"/>
      <c r="BU21" s="84"/>
      <c r="BV21" s="36">
        <f t="shared" si="4"/>
        <v>80</v>
      </c>
      <c r="BW21" s="37" t="str">
        <f t="shared" si="5"/>
        <v>PROCESO</v>
      </c>
    </row>
    <row r="22" spans="1:75" ht="23.25" customHeight="1" x14ac:dyDescent="0.25">
      <c r="A22" s="79">
        <v>19</v>
      </c>
      <c r="B22" s="80" t="s">
        <v>261</v>
      </c>
      <c r="C22" s="81" t="s">
        <v>262</v>
      </c>
      <c r="D22" s="81" t="s">
        <v>132</v>
      </c>
      <c r="E22" s="91">
        <v>8</v>
      </c>
      <c r="F22" s="94">
        <v>46155</v>
      </c>
      <c r="G22" s="82">
        <v>40</v>
      </c>
      <c r="H22" s="82"/>
      <c r="I22" s="82"/>
      <c r="J22" s="82" t="s">
        <v>36</v>
      </c>
      <c r="K22" s="82">
        <v>8</v>
      </c>
      <c r="L22" s="82">
        <v>1</v>
      </c>
      <c r="M22" s="100" t="s">
        <v>263</v>
      </c>
      <c r="N22" s="101" t="s">
        <v>264</v>
      </c>
      <c r="O22" s="100">
        <v>998455178</v>
      </c>
      <c r="P22" s="100" t="s">
        <v>134</v>
      </c>
      <c r="Q22" s="107" t="s">
        <v>265</v>
      </c>
      <c r="R22" s="103" t="s">
        <v>266</v>
      </c>
      <c r="S22" s="104" t="s">
        <v>267</v>
      </c>
      <c r="T22" s="103">
        <v>974977303</v>
      </c>
      <c r="U22" s="103" t="s">
        <v>134</v>
      </c>
      <c r="V22" s="108" t="s">
        <v>268</v>
      </c>
      <c r="W22" s="34" t="s">
        <v>36</v>
      </c>
      <c r="X22" s="34" t="s">
        <v>37</v>
      </c>
      <c r="Y22" s="34" t="s">
        <v>36</v>
      </c>
      <c r="Z22" s="34" t="s">
        <v>36</v>
      </c>
      <c r="AA22" s="34" t="s">
        <v>36</v>
      </c>
      <c r="AB22" s="34" t="s">
        <v>36</v>
      </c>
      <c r="AC22" s="34" t="s">
        <v>36</v>
      </c>
      <c r="AD22" s="85"/>
      <c r="AE22" s="35">
        <v>3</v>
      </c>
      <c r="AF22" s="35">
        <v>3</v>
      </c>
      <c r="AG22" s="35">
        <v>3</v>
      </c>
      <c r="AH22" s="35">
        <v>3</v>
      </c>
      <c r="AI22" s="35">
        <v>3</v>
      </c>
      <c r="AJ22" s="35">
        <v>3</v>
      </c>
      <c r="AK22" s="35">
        <v>3</v>
      </c>
      <c r="AL22" s="35">
        <v>3</v>
      </c>
      <c r="AM22" s="35">
        <v>3</v>
      </c>
      <c r="AN22" s="35">
        <v>3</v>
      </c>
      <c r="AO22" s="38">
        <f t="shared" si="0"/>
        <v>30</v>
      </c>
      <c r="AP22" s="35">
        <v>3</v>
      </c>
      <c r="AQ22" s="35">
        <v>2</v>
      </c>
      <c r="AR22" s="35">
        <v>3</v>
      </c>
      <c r="AS22" s="35">
        <v>3</v>
      </c>
      <c r="AT22" s="35">
        <v>2</v>
      </c>
      <c r="AU22" s="35">
        <v>2</v>
      </c>
      <c r="AV22" s="35">
        <v>1</v>
      </c>
      <c r="AW22" s="35">
        <v>3</v>
      </c>
      <c r="AX22" s="35">
        <v>3</v>
      </c>
      <c r="AY22" s="35">
        <v>3</v>
      </c>
      <c r="AZ22" s="35">
        <v>3</v>
      </c>
      <c r="BA22" s="35">
        <v>2</v>
      </c>
      <c r="BB22" s="86">
        <f t="shared" si="1"/>
        <v>30</v>
      </c>
      <c r="BC22" s="35">
        <v>2</v>
      </c>
      <c r="BD22" s="35">
        <v>2</v>
      </c>
      <c r="BE22" s="35">
        <v>2</v>
      </c>
      <c r="BF22" s="35">
        <v>3</v>
      </c>
      <c r="BG22" s="35">
        <v>2</v>
      </c>
      <c r="BH22" s="35">
        <v>3</v>
      </c>
      <c r="BI22" s="35">
        <v>2</v>
      </c>
      <c r="BJ22" s="35">
        <v>3</v>
      </c>
      <c r="BK22" s="86">
        <f t="shared" si="2"/>
        <v>19</v>
      </c>
      <c r="BL22" s="35">
        <v>3</v>
      </c>
      <c r="BM22" s="35">
        <v>3</v>
      </c>
      <c r="BN22" s="35">
        <v>3</v>
      </c>
      <c r="BO22" s="35">
        <v>3</v>
      </c>
      <c r="BP22" s="35">
        <v>3</v>
      </c>
      <c r="BQ22" s="35">
        <v>3</v>
      </c>
      <c r="BR22" s="35">
        <v>3</v>
      </c>
      <c r="BS22" s="38">
        <f t="shared" si="3"/>
        <v>21</v>
      </c>
      <c r="BT22" s="88"/>
      <c r="BU22" s="84"/>
      <c r="BV22" s="36">
        <f t="shared" si="4"/>
        <v>100</v>
      </c>
      <c r="BW22" s="37" t="str">
        <f t="shared" si="5"/>
        <v>LOGRADO</v>
      </c>
    </row>
    <row r="23" spans="1:75" ht="23.25" customHeight="1" x14ac:dyDescent="0.25">
      <c r="A23" s="79">
        <v>20</v>
      </c>
      <c r="B23" s="80" t="s">
        <v>269</v>
      </c>
      <c r="C23" s="81" t="s">
        <v>270</v>
      </c>
      <c r="D23" s="81" t="s">
        <v>132</v>
      </c>
      <c r="E23" s="91">
        <v>13</v>
      </c>
      <c r="F23" s="94">
        <v>46154</v>
      </c>
      <c r="G23" s="82">
        <v>11</v>
      </c>
      <c r="H23" s="82">
        <v>300</v>
      </c>
      <c r="I23" s="82">
        <v>24</v>
      </c>
      <c r="J23" s="82" t="s">
        <v>37</v>
      </c>
      <c r="K23" s="82">
        <v>2</v>
      </c>
      <c r="L23" s="82">
        <v>1</v>
      </c>
      <c r="M23" s="100" t="s">
        <v>271</v>
      </c>
      <c r="N23" s="101" t="s">
        <v>272</v>
      </c>
      <c r="O23" s="100"/>
      <c r="P23" s="100" t="s">
        <v>134</v>
      </c>
      <c r="Q23" s="107" t="s">
        <v>273</v>
      </c>
      <c r="R23" s="103" t="s">
        <v>274</v>
      </c>
      <c r="S23" s="104" t="s">
        <v>275</v>
      </c>
      <c r="T23" s="103">
        <v>984153262</v>
      </c>
      <c r="U23" s="103" t="s">
        <v>276</v>
      </c>
      <c r="V23" s="108" t="s">
        <v>277</v>
      </c>
      <c r="W23" s="34" t="s">
        <v>36</v>
      </c>
      <c r="X23" s="34" t="s">
        <v>36</v>
      </c>
      <c r="Y23" s="34" t="s">
        <v>37</v>
      </c>
      <c r="Z23" s="34"/>
      <c r="AA23" s="34" t="s">
        <v>36</v>
      </c>
      <c r="AB23" s="34" t="s">
        <v>36</v>
      </c>
      <c r="AC23" s="34" t="s">
        <v>36</v>
      </c>
      <c r="AD23" s="85"/>
      <c r="AE23" s="35">
        <v>2</v>
      </c>
      <c r="AF23" s="35">
        <v>1</v>
      </c>
      <c r="AG23" s="35">
        <v>1</v>
      </c>
      <c r="AH23" s="35">
        <v>2</v>
      </c>
      <c r="AI23" s="35">
        <v>1</v>
      </c>
      <c r="AJ23" s="35">
        <v>3</v>
      </c>
      <c r="AK23" s="35">
        <v>3</v>
      </c>
      <c r="AL23" s="35">
        <v>3</v>
      </c>
      <c r="AM23" s="35">
        <v>3</v>
      </c>
      <c r="AN23" s="35">
        <v>3</v>
      </c>
      <c r="AO23" s="38">
        <f t="shared" si="0"/>
        <v>22</v>
      </c>
      <c r="AP23" s="35">
        <v>2</v>
      </c>
      <c r="AQ23" s="35">
        <v>1</v>
      </c>
      <c r="AR23" s="35">
        <v>3</v>
      </c>
      <c r="AS23" s="35">
        <v>3</v>
      </c>
      <c r="AT23" s="35">
        <v>2</v>
      </c>
      <c r="AU23" s="35">
        <v>2</v>
      </c>
      <c r="AV23" s="35">
        <v>1</v>
      </c>
      <c r="AW23" s="35">
        <v>3</v>
      </c>
      <c r="AX23" s="35">
        <v>1</v>
      </c>
      <c r="AY23" s="35">
        <v>3</v>
      </c>
      <c r="AZ23" s="35">
        <v>2</v>
      </c>
      <c r="BA23" s="35">
        <v>3</v>
      </c>
      <c r="BB23" s="86">
        <f t="shared" si="1"/>
        <v>26</v>
      </c>
      <c r="BC23" s="35">
        <v>3</v>
      </c>
      <c r="BD23" s="35">
        <v>3</v>
      </c>
      <c r="BE23" s="35">
        <v>3</v>
      </c>
      <c r="BF23" s="35">
        <v>2</v>
      </c>
      <c r="BG23" s="35">
        <v>1</v>
      </c>
      <c r="BH23" s="35">
        <v>1</v>
      </c>
      <c r="BI23" s="35">
        <v>1</v>
      </c>
      <c r="BJ23" s="35">
        <v>1</v>
      </c>
      <c r="BK23" s="86">
        <f t="shared" si="2"/>
        <v>15</v>
      </c>
      <c r="BL23" s="35">
        <v>3</v>
      </c>
      <c r="BM23" s="35">
        <v>3</v>
      </c>
      <c r="BN23" s="35">
        <v>3</v>
      </c>
      <c r="BO23" s="35">
        <v>3</v>
      </c>
      <c r="BP23" s="35">
        <v>1</v>
      </c>
      <c r="BQ23" s="35">
        <v>1</v>
      </c>
      <c r="BR23" s="35">
        <v>1</v>
      </c>
      <c r="BS23" s="38">
        <f t="shared" si="3"/>
        <v>15</v>
      </c>
      <c r="BT23" s="87"/>
      <c r="BU23" s="84"/>
      <c r="BV23" s="36">
        <f t="shared" si="4"/>
        <v>78</v>
      </c>
      <c r="BW23" s="37" t="str">
        <f t="shared" si="5"/>
        <v>PROCESO</v>
      </c>
    </row>
    <row r="24" spans="1:75" ht="23.25" customHeight="1" x14ac:dyDescent="0.25">
      <c r="A24" s="79">
        <v>21</v>
      </c>
      <c r="B24" s="80" t="s">
        <v>278</v>
      </c>
      <c r="C24" s="81"/>
      <c r="D24" s="81" t="s">
        <v>132</v>
      </c>
      <c r="E24" s="91">
        <v>16</v>
      </c>
      <c r="F24" s="94">
        <v>46156</v>
      </c>
      <c r="G24" s="82">
        <v>10</v>
      </c>
      <c r="H24" s="82"/>
      <c r="I24" s="82"/>
      <c r="J24" s="82" t="s">
        <v>37</v>
      </c>
      <c r="K24" s="82">
        <v>3</v>
      </c>
      <c r="L24" s="82"/>
      <c r="M24" s="100" t="s">
        <v>279</v>
      </c>
      <c r="N24" s="101" t="s">
        <v>280</v>
      </c>
      <c r="O24" s="100">
        <v>947565553</v>
      </c>
      <c r="P24" s="100" t="s">
        <v>134</v>
      </c>
      <c r="Q24" s="107" t="s">
        <v>281</v>
      </c>
      <c r="R24" s="103" t="s">
        <v>282</v>
      </c>
      <c r="S24" s="104" t="s">
        <v>283</v>
      </c>
      <c r="T24" s="103">
        <v>999995889</v>
      </c>
      <c r="U24" s="103" t="s">
        <v>134</v>
      </c>
      <c r="V24" s="108" t="s">
        <v>284</v>
      </c>
      <c r="W24" s="34" t="s">
        <v>36</v>
      </c>
      <c r="X24" s="34" t="s">
        <v>36</v>
      </c>
      <c r="Y24" s="34" t="s">
        <v>36</v>
      </c>
      <c r="Z24" s="34"/>
      <c r="AA24" s="34" t="s">
        <v>36</v>
      </c>
      <c r="AB24" s="34" t="s">
        <v>36</v>
      </c>
      <c r="AC24" s="34" t="s">
        <v>36</v>
      </c>
      <c r="AD24" s="85"/>
      <c r="AE24" s="35">
        <v>2</v>
      </c>
      <c r="AF24" s="35">
        <v>2</v>
      </c>
      <c r="AG24" s="35">
        <v>1</v>
      </c>
      <c r="AH24" s="35">
        <v>3</v>
      </c>
      <c r="AI24" s="35">
        <v>3</v>
      </c>
      <c r="AJ24" s="35">
        <v>3</v>
      </c>
      <c r="AK24" s="35">
        <v>3</v>
      </c>
      <c r="AL24" s="35">
        <v>3</v>
      </c>
      <c r="AM24" s="35">
        <v>3</v>
      </c>
      <c r="AN24" s="35">
        <v>3</v>
      </c>
      <c r="AO24" s="38">
        <f t="shared" si="0"/>
        <v>26</v>
      </c>
      <c r="AP24" s="35">
        <v>3</v>
      </c>
      <c r="AQ24" s="35">
        <v>2</v>
      </c>
      <c r="AR24" s="35">
        <v>3</v>
      </c>
      <c r="AS24" s="35">
        <v>3</v>
      </c>
      <c r="AT24" s="35">
        <v>3</v>
      </c>
      <c r="AU24" s="35">
        <v>3</v>
      </c>
      <c r="AV24" s="35">
        <v>2</v>
      </c>
      <c r="AW24" s="35">
        <v>3</v>
      </c>
      <c r="AX24" s="35">
        <v>1</v>
      </c>
      <c r="AY24" s="35">
        <v>3</v>
      </c>
      <c r="AZ24" s="35">
        <v>3</v>
      </c>
      <c r="BA24" s="35">
        <v>3</v>
      </c>
      <c r="BB24" s="86">
        <f t="shared" si="1"/>
        <v>32</v>
      </c>
      <c r="BC24" s="35">
        <v>2</v>
      </c>
      <c r="BD24" s="35">
        <v>3</v>
      </c>
      <c r="BE24" s="35">
        <v>3</v>
      </c>
      <c r="BF24" s="35">
        <v>3</v>
      </c>
      <c r="BG24" s="35">
        <v>2</v>
      </c>
      <c r="BH24" s="35">
        <v>3</v>
      </c>
      <c r="BI24" s="35">
        <v>2</v>
      </c>
      <c r="BJ24" s="35">
        <v>3</v>
      </c>
      <c r="BK24" s="86">
        <f t="shared" si="2"/>
        <v>21</v>
      </c>
      <c r="BL24" s="35">
        <v>3</v>
      </c>
      <c r="BM24" s="35">
        <v>3</v>
      </c>
      <c r="BN24" s="35">
        <v>3</v>
      </c>
      <c r="BO24" s="35">
        <v>3</v>
      </c>
      <c r="BP24" s="35">
        <v>3</v>
      </c>
      <c r="BQ24" s="35">
        <v>3</v>
      </c>
      <c r="BR24" s="35">
        <v>3</v>
      </c>
      <c r="BS24" s="38">
        <f t="shared" si="3"/>
        <v>21</v>
      </c>
      <c r="BT24" s="95"/>
      <c r="BU24" s="84"/>
      <c r="BV24" s="36">
        <f t="shared" si="4"/>
        <v>100</v>
      </c>
      <c r="BW24" s="37" t="str">
        <f t="shared" si="5"/>
        <v>LOGRADO</v>
      </c>
    </row>
    <row r="25" spans="1:75" ht="23.25" customHeight="1" x14ac:dyDescent="0.25">
      <c r="A25" s="79">
        <v>22</v>
      </c>
      <c r="B25" s="80" t="s">
        <v>289</v>
      </c>
      <c r="C25" s="81" t="s">
        <v>285</v>
      </c>
      <c r="D25" s="81" t="s">
        <v>132</v>
      </c>
      <c r="E25" s="91">
        <v>16</v>
      </c>
      <c r="F25" s="94">
        <v>46156</v>
      </c>
      <c r="G25" s="82">
        <v>10</v>
      </c>
      <c r="H25" s="82"/>
      <c r="I25" s="82">
        <v>19</v>
      </c>
      <c r="J25" s="82" t="s">
        <v>37</v>
      </c>
      <c r="K25" s="82">
        <v>3</v>
      </c>
      <c r="L25" s="82"/>
      <c r="M25" s="100" t="s">
        <v>286</v>
      </c>
      <c r="N25" s="101" t="s">
        <v>287</v>
      </c>
      <c r="O25" s="100">
        <v>998667335</v>
      </c>
      <c r="P25" s="100" t="s">
        <v>134</v>
      </c>
      <c r="Q25" s="107" t="s">
        <v>288</v>
      </c>
      <c r="R25" s="103"/>
      <c r="S25" s="104"/>
      <c r="T25" s="103"/>
      <c r="U25" s="103"/>
      <c r="V25" s="103"/>
      <c r="W25" s="34" t="s">
        <v>36</v>
      </c>
      <c r="X25" s="34" t="s">
        <v>36</v>
      </c>
      <c r="Y25" s="34" t="s">
        <v>36</v>
      </c>
      <c r="Z25" s="34"/>
      <c r="AA25" s="34" t="s">
        <v>36</v>
      </c>
      <c r="AB25" s="34" t="s">
        <v>36</v>
      </c>
      <c r="AC25" s="34" t="s">
        <v>36</v>
      </c>
      <c r="AD25" s="85"/>
      <c r="AE25" s="35">
        <v>2</v>
      </c>
      <c r="AF25" s="35">
        <v>3</v>
      </c>
      <c r="AG25" s="35">
        <v>1</v>
      </c>
      <c r="AH25" s="35">
        <v>3</v>
      </c>
      <c r="AI25" s="35">
        <v>2</v>
      </c>
      <c r="AJ25" s="35">
        <v>3</v>
      </c>
      <c r="AK25" s="35">
        <v>3</v>
      </c>
      <c r="AL25" s="35">
        <v>3</v>
      </c>
      <c r="AM25" s="35">
        <v>3</v>
      </c>
      <c r="AN25" s="35">
        <v>3</v>
      </c>
      <c r="AO25" s="38">
        <f t="shared" si="0"/>
        <v>26</v>
      </c>
      <c r="AP25" s="35">
        <v>3</v>
      </c>
      <c r="AQ25" s="35">
        <v>2</v>
      </c>
      <c r="AR25" s="35">
        <v>3</v>
      </c>
      <c r="AS25" s="35">
        <v>3</v>
      </c>
      <c r="AT25" s="35">
        <v>3</v>
      </c>
      <c r="AU25" s="35">
        <v>3</v>
      </c>
      <c r="AV25" s="35">
        <v>2</v>
      </c>
      <c r="AW25" s="35">
        <v>3</v>
      </c>
      <c r="AX25" s="35">
        <v>1</v>
      </c>
      <c r="AY25" s="35">
        <v>3</v>
      </c>
      <c r="AZ25" s="35">
        <v>3</v>
      </c>
      <c r="BA25" s="35">
        <v>3</v>
      </c>
      <c r="BB25" s="86">
        <f t="shared" si="1"/>
        <v>32</v>
      </c>
      <c r="BC25" s="35">
        <v>1</v>
      </c>
      <c r="BD25" s="35">
        <v>2</v>
      </c>
      <c r="BE25" s="35">
        <v>1</v>
      </c>
      <c r="BF25" s="35">
        <v>1</v>
      </c>
      <c r="BG25" s="35">
        <v>1</v>
      </c>
      <c r="BH25" s="35">
        <v>1</v>
      </c>
      <c r="BI25" s="35">
        <v>1</v>
      </c>
      <c r="BJ25" s="35">
        <v>1</v>
      </c>
      <c r="BK25" s="86">
        <f t="shared" si="2"/>
        <v>9</v>
      </c>
      <c r="BL25" s="35">
        <v>1</v>
      </c>
      <c r="BM25" s="35">
        <v>1</v>
      </c>
      <c r="BN25" s="35">
        <v>1</v>
      </c>
      <c r="BO25" s="35">
        <v>1</v>
      </c>
      <c r="BP25" s="35">
        <v>3</v>
      </c>
      <c r="BQ25" s="35">
        <v>3</v>
      </c>
      <c r="BR25" s="35">
        <v>2</v>
      </c>
      <c r="BS25" s="38">
        <f t="shared" si="3"/>
        <v>12</v>
      </c>
      <c r="BT25" s="95"/>
      <c r="BU25" s="84"/>
      <c r="BV25" s="36">
        <f t="shared" si="4"/>
        <v>79</v>
      </c>
      <c r="BW25" s="37" t="str">
        <f t="shared" si="5"/>
        <v>PROCESO</v>
      </c>
    </row>
    <row r="26" spans="1:75" ht="23.25" customHeight="1" x14ac:dyDescent="0.25">
      <c r="A26" s="79">
        <v>23</v>
      </c>
      <c r="B26" s="80" t="s">
        <v>290</v>
      </c>
      <c r="C26" s="81" t="s">
        <v>291</v>
      </c>
      <c r="D26" s="81" t="s">
        <v>132</v>
      </c>
      <c r="E26" s="91">
        <v>15</v>
      </c>
      <c r="F26" s="94">
        <v>46157</v>
      </c>
      <c r="G26" s="82">
        <v>30</v>
      </c>
      <c r="H26" s="82"/>
      <c r="I26" s="82">
        <v>61</v>
      </c>
      <c r="J26" s="82" t="s">
        <v>37</v>
      </c>
      <c r="K26" s="82">
        <v>5</v>
      </c>
      <c r="L26" s="82">
        <v>2</v>
      </c>
      <c r="M26" s="100" t="s">
        <v>292</v>
      </c>
      <c r="N26" s="101" t="s">
        <v>293</v>
      </c>
      <c r="O26" s="100">
        <v>941700398</v>
      </c>
      <c r="P26" s="100"/>
      <c r="Q26" s="107" t="s">
        <v>294</v>
      </c>
      <c r="R26" s="103" t="s">
        <v>295</v>
      </c>
      <c r="S26" s="104" t="s">
        <v>296</v>
      </c>
      <c r="T26" s="103">
        <v>941986354</v>
      </c>
      <c r="U26" s="103"/>
      <c r="V26" s="103"/>
      <c r="W26" s="34" t="s">
        <v>36</v>
      </c>
      <c r="X26" s="34" t="s">
        <v>36</v>
      </c>
      <c r="Y26" s="34" t="s">
        <v>36</v>
      </c>
      <c r="Z26" s="34"/>
      <c r="AA26" s="34" t="s">
        <v>36</v>
      </c>
      <c r="AB26" s="34" t="s">
        <v>36</v>
      </c>
      <c r="AC26" s="34" t="s">
        <v>36</v>
      </c>
      <c r="AD26" s="85"/>
      <c r="AE26" s="35">
        <v>3</v>
      </c>
      <c r="AF26" s="35">
        <v>3</v>
      </c>
      <c r="AG26" s="35">
        <v>3</v>
      </c>
      <c r="AH26" s="35">
        <v>3</v>
      </c>
      <c r="AI26" s="35">
        <v>3</v>
      </c>
      <c r="AJ26" s="35">
        <v>3</v>
      </c>
      <c r="AK26" s="35">
        <v>3</v>
      </c>
      <c r="AL26" s="35">
        <v>3</v>
      </c>
      <c r="AM26" s="35">
        <v>2</v>
      </c>
      <c r="AN26" s="35">
        <v>3</v>
      </c>
      <c r="AO26" s="38">
        <f t="shared" si="0"/>
        <v>29</v>
      </c>
      <c r="AP26" s="35">
        <v>3</v>
      </c>
      <c r="AQ26" s="35">
        <v>2</v>
      </c>
      <c r="AR26" s="35">
        <v>3</v>
      </c>
      <c r="AS26" s="35">
        <v>3</v>
      </c>
      <c r="AT26" s="35">
        <v>3</v>
      </c>
      <c r="AU26" s="35">
        <v>3</v>
      </c>
      <c r="AV26" s="35">
        <v>2</v>
      </c>
      <c r="AW26" s="35">
        <v>3</v>
      </c>
      <c r="AX26" s="35">
        <v>1</v>
      </c>
      <c r="AY26" s="35">
        <v>3</v>
      </c>
      <c r="AZ26" s="35">
        <v>3</v>
      </c>
      <c r="BA26" s="35">
        <v>3</v>
      </c>
      <c r="BB26" s="86">
        <f t="shared" si="1"/>
        <v>32</v>
      </c>
      <c r="BC26" s="35">
        <v>2</v>
      </c>
      <c r="BD26" s="35">
        <v>3</v>
      </c>
      <c r="BE26" s="35">
        <v>3</v>
      </c>
      <c r="BF26" s="35">
        <v>2</v>
      </c>
      <c r="BG26" s="35">
        <v>2</v>
      </c>
      <c r="BH26" s="35">
        <v>3</v>
      </c>
      <c r="BI26" s="35">
        <v>2</v>
      </c>
      <c r="BJ26" s="35">
        <v>3</v>
      </c>
      <c r="BK26" s="86">
        <f t="shared" si="2"/>
        <v>20</v>
      </c>
      <c r="BL26" s="35">
        <v>2</v>
      </c>
      <c r="BM26" s="35">
        <v>3</v>
      </c>
      <c r="BN26" s="35">
        <v>3</v>
      </c>
      <c r="BO26" s="35">
        <v>3</v>
      </c>
      <c r="BP26" s="35">
        <v>3</v>
      </c>
      <c r="BQ26" s="35">
        <v>3</v>
      </c>
      <c r="BR26" s="35">
        <v>3</v>
      </c>
      <c r="BS26" s="38">
        <f t="shared" si="3"/>
        <v>20</v>
      </c>
      <c r="BT26" s="95"/>
      <c r="BU26" s="84"/>
      <c r="BV26" s="36">
        <f t="shared" si="4"/>
        <v>101</v>
      </c>
      <c r="BW26" s="37" t="str">
        <f t="shared" si="5"/>
        <v>LOGRADO</v>
      </c>
    </row>
    <row r="27" spans="1:75" ht="23.25" customHeight="1" x14ac:dyDescent="0.25">
      <c r="A27" s="79">
        <v>24</v>
      </c>
      <c r="B27" s="96" t="s">
        <v>297</v>
      </c>
      <c r="C27" s="81" t="s">
        <v>298</v>
      </c>
      <c r="D27" s="81" t="s">
        <v>132</v>
      </c>
      <c r="E27" s="91">
        <v>6</v>
      </c>
      <c r="F27" s="92">
        <v>46157</v>
      </c>
      <c r="G27" s="82">
        <v>37</v>
      </c>
      <c r="H27" s="82">
        <v>895</v>
      </c>
      <c r="I27" s="82">
        <v>87</v>
      </c>
      <c r="J27" s="82" t="s">
        <v>36</v>
      </c>
      <c r="K27" s="82">
        <v>6</v>
      </c>
      <c r="L27" s="82">
        <v>2</v>
      </c>
      <c r="M27" s="100" t="s">
        <v>299</v>
      </c>
      <c r="N27" s="101" t="s">
        <v>300</v>
      </c>
      <c r="O27" s="100">
        <v>964029716</v>
      </c>
      <c r="P27" s="100" t="s">
        <v>134</v>
      </c>
      <c r="Q27" s="107" t="s">
        <v>301</v>
      </c>
      <c r="R27" s="103" t="s">
        <v>302</v>
      </c>
      <c r="S27" s="104" t="s">
        <v>303</v>
      </c>
      <c r="T27" s="103">
        <v>954426913</v>
      </c>
      <c r="U27" s="103" t="s">
        <v>134</v>
      </c>
      <c r="V27" s="108" t="s">
        <v>304</v>
      </c>
      <c r="W27" s="34" t="s">
        <v>36</v>
      </c>
      <c r="X27" s="34" t="s">
        <v>37</v>
      </c>
      <c r="Y27" s="34" t="s">
        <v>37</v>
      </c>
      <c r="Z27" s="34" t="s">
        <v>36</v>
      </c>
      <c r="AA27" s="34" t="s">
        <v>36</v>
      </c>
      <c r="AB27" s="34" t="s">
        <v>36</v>
      </c>
      <c r="AC27" s="34" t="s">
        <v>36</v>
      </c>
      <c r="AD27" s="85"/>
      <c r="AE27" s="35">
        <v>3</v>
      </c>
      <c r="AF27" s="35">
        <v>2</v>
      </c>
      <c r="AG27" s="35">
        <v>3</v>
      </c>
      <c r="AH27" s="35">
        <v>3</v>
      </c>
      <c r="AI27" s="35">
        <v>3</v>
      </c>
      <c r="AJ27" s="35">
        <v>3</v>
      </c>
      <c r="AK27" s="35">
        <v>3</v>
      </c>
      <c r="AL27" s="35">
        <v>3</v>
      </c>
      <c r="AM27" s="35">
        <v>3</v>
      </c>
      <c r="AN27" s="35">
        <v>3</v>
      </c>
      <c r="AO27" s="38">
        <f t="shared" si="0"/>
        <v>29</v>
      </c>
      <c r="AP27" s="35">
        <v>3</v>
      </c>
      <c r="AQ27" s="35">
        <v>3</v>
      </c>
      <c r="AR27" s="35">
        <v>3</v>
      </c>
      <c r="AS27" s="35">
        <v>3</v>
      </c>
      <c r="AT27" s="35">
        <v>3</v>
      </c>
      <c r="AU27" s="35">
        <v>3</v>
      </c>
      <c r="AV27" s="35">
        <v>2</v>
      </c>
      <c r="AW27" s="35">
        <v>3</v>
      </c>
      <c r="AX27" s="35">
        <v>3</v>
      </c>
      <c r="AY27" s="35">
        <v>3</v>
      </c>
      <c r="AZ27" s="35">
        <v>3</v>
      </c>
      <c r="BA27" s="35">
        <v>3</v>
      </c>
      <c r="BB27" s="86">
        <f t="shared" si="1"/>
        <v>35</v>
      </c>
      <c r="BC27" s="35">
        <v>2</v>
      </c>
      <c r="BD27" s="35">
        <v>3</v>
      </c>
      <c r="BE27" s="35">
        <v>2</v>
      </c>
      <c r="BF27" s="35">
        <v>3</v>
      </c>
      <c r="BG27" s="35">
        <v>2</v>
      </c>
      <c r="BH27" s="35">
        <v>2</v>
      </c>
      <c r="BI27" s="35">
        <v>2</v>
      </c>
      <c r="BJ27" s="35">
        <v>3</v>
      </c>
      <c r="BK27" s="86">
        <f t="shared" si="2"/>
        <v>19</v>
      </c>
      <c r="BL27" s="35">
        <v>2</v>
      </c>
      <c r="BM27" s="35">
        <v>3</v>
      </c>
      <c r="BN27" s="35">
        <v>3</v>
      </c>
      <c r="BO27" s="35">
        <v>3</v>
      </c>
      <c r="BP27" s="35">
        <v>3</v>
      </c>
      <c r="BQ27" s="35">
        <v>3</v>
      </c>
      <c r="BR27" s="35">
        <v>3</v>
      </c>
      <c r="BS27" s="38">
        <f t="shared" si="3"/>
        <v>20</v>
      </c>
      <c r="BT27" s="95"/>
      <c r="BU27" s="88"/>
      <c r="BV27" s="36">
        <f t="shared" si="4"/>
        <v>103</v>
      </c>
      <c r="BW27" s="37" t="str">
        <f t="shared" si="5"/>
        <v>LOGRADO</v>
      </c>
    </row>
    <row r="28" spans="1:75" ht="23.25" customHeight="1" x14ac:dyDescent="0.25">
      <c r="A28" s="79">
        <v>25</v>
      </c>
      <c r="B28" s="80" t="s">
        <v>305</v>
      </c>
      <c r="C28" s="81" t="s">
        <v>306</v>
      </c>
      <c r="D28" s="81" t="s">
        <v>132</v>
      </c>
      <c r="E28" s="91">
        <v>12</v>
      </c>
      <c r="F28" s="94">
        <v>46160</v>
      </c>
      <c r="G28" s="82">
        <v>35</v>
      </c>
      <c r="H28" s="82">
        <v>1035</v>
      </c>
      <c r="I28" s="82">
        <v>81</v>
      </c>
      <c r="J28" s="82" t="s">
        <v>36</v>
      </c>
      <c r="K28" s="82">
        <v>7</v>
      </c>
      <c r="L28" s="82">
        <v>2</v>
      </c>
      <c r="M28" s="100" t="s">
        <v>307</v>
      </c>
      <c r="N28" s="101" t="s">
        <v>308</v>
      </c>
      <c r="O28" s="100">
        <v>955826181</v>
      </c>
      <c r="P28" s="100" t="s">
        <v>134</v>
      </c>
      <c r="Q28" s="107" t="s">
        <v>309</v>
      </c>
      <c r="R28" s="103" t="s">
        <v>310</v>
      </c>
      <c r="S28" s="104" t="s">
        <v>308</v>
      </c>
      <c r="T28" s="103">
        <v>955826181</v>
      </c>
      <c r="U28" s="103" t="s">
        <v>311</v>
      </c>
      <c r="V28" s="108" t="s">
        <v>312</v>
      </c>
      <c r="W28" s="34" t="s">
        <v>36</v>
      </c>
      <c r="X28" s="34" t="s">
        <v>36</v>
      </c>
      <c r="Y28" s="34" t="s">
        <v>36</v>
      </c>
      <c r="Z28" s="34" t="s">
        <v>36</v>
      </c>
      <c r="AA28" s="34" t="s">
        <v>36</v>
      </c>
      <c r="AB28" s="34" t="s">
        <v>36</v>
      </c>
      <c r="AC28" s="34" t="s">
        <v>36</v>
      </c>
      <c r="AD28" s="85"/>
      <c r="AE28" s="35">
        <v>3</v>
      </c>
      <c r="AF28" s="35">
        <v>3</v>
      </c>
      <c r="AG28" s="35">
        <v>3</v>
      </c>
      <c r="AH28" s="35">
        <v>3</v>
      </c>
      <c r="AI28" s="35">
        <v>3</v>
      </c>
      <c r="AJ28" s="35">
        <v>3</v>
      </c>
      <c r="AK28" s="35">
        <v>3</v>
      </c>
      <c r="AL28" s="35">
        <v>3</v>
      </c>
      <c r="AM28" s="35">
        <v>3</v>
      </c>
      <c r="AN28" s="35">
        <v>3</v>
      </c>
      <c r="AO28" s="38">
        <f t="shared" si="0"/>
        <v>30</v>
      </c>
      <c r="AP28" s="35">
        <v>3</v>
      </c>
      <c r="AQ28" s="35">
        <v>2</v>
      </c>
      <c r="AR28" s="35">
        <v>3</v>
      </c>
      <c r="AS28" s="35">
        <v>3</v>
      </c>
      <c r="AT28" s="35">
        <v>3</v>
      </c>
      <c r="AU28" s="35">
        <v>3</v>
      </c>
      <c r="AV28" s="35">
        <v>3</v>
      </c>
      <c r="AW28" s="35">
        <v>3</v>
      </c>
      <c r="AX28" s="35">
        <v>2</v>
      </c>
      <c r="AY28" s="35">
        <v>3</v>
      </c>
      <c r="AZ28" s="35">
        <v>3</v>
      </c>
      <c r="BA28" s="35">
        <v>3</v>
      </c>
      <c r="BB28" s="86">
        <f t="shared" si="1"/>
        <v>34</v>
      </c>
      <c r="BC28" s="35">
        <v>2</v>
      </c>
      <c r="BD28" s="35">
        <v>3</v>
      </c>
      <c r="BE28" s="35">
        <v>2</v>
      </c>
      <c r="BF28" s="35">
        <v>2</v>
      </c>
      <c r="BG28" s="35">
        <v>2</v>
      </c>
      <c r="BH28" s="35">
        <v>3</v>
      </c>
      <c r="BI28" s="35">
        <v>2</v>
      </c>
      <c r="BJ28" s="35">
        <v>3</v>
      </c>
      <c r="BK28" s="86">
        <f t="shared" si="2"/>
        <v>19</v>
      </c>
      <c r="BL28" s="35">
        <v>3</v>
      </c>
      <c r="BM28" s="35">
        <v>3</v>
      </c>
      <c r="BN28" s="35">
        <v>3</v>
      </c>
      <c r="BO28" s="35">
        <v>3</v>
      </c>
      <c r="BP28" s="35">
        <v>3</v>
      </c>
      <c r="BQ28" s="35">
        <v>3</v>
      </c>
      <c r="BR28" s="35">
        <v>3</v>
      </c>
      <c r="BS28" s="38">
        <f t="shared" si="3"/>
        <v>21</v>
      </c>
      <c r="BT28" s="95"/>
      <c r="BU28" s="84"/>
      <c r="BV28" s="36">
        <f t="shared" si="4"/>
        <v>104</v>
      </c>
      <c r="BW28" s="37" t="str">
        <f t="shared" si="5"/>
        <v>LOGRADO</v>
      </c>
    </row>
    <row r="29" spans="1:75" ht="23.25" customHeight="1" x14ac:dyDescent="0.25">
      <c r="A29" s="79">
        <v>26</v>
      </c>
      <c r="B29" s="80" t="s">
        <v>313</v>
      </c>
      <c r="C29" s="81" t="s">
        <v>314</v>
      </c>
      <c r="D29" s="81" t="s">
        <v>132</v>
      </c>
      <c r="E29" s="91">
        <v>12</v>
      </c>
      <c r="F29" s="94">
        <v>46160</v>
      </c>
      <c r="G29" s="82">
        <v>40</v>
      </c>
      <c r="H29" s="82">
        <v>1182</v>
      </c>
      <c r="I29" s="82">
        <v>80</v>
      </c>
      <c r="J29" s="82" t="s">
        <v>37</v>
      </c>
      <c r="K29" s="82">
        <v>6</v>
      </c>
      <c r="L29" s="82">
        <v>2</v>
      </c>
      <c r="M29" s="100"/>
      <c r="N29" s="101"/>
      <c r="O29" s="100"/>
      <c r="P29" s="100"/>
      <c r="Q29" s="106"/>
      <c r="R29" s="103" t="s">
        <v>315</v>
      </c>
      <c r="S29" s="104" t="s">
        <v>316</v>
      </c>
      <c r="T29" s="103">
        <v>971260811</v>
      </c>
      <c r="U29" s="103" t="s">
        <v>134</v>
      </c>
      <c r="V29" s="103"/>
      <c r="W29" s="34" t="s">
        <v>36</v>
      </c>
      <c r="X29" s="34" t="s">
        <v>36</v>
      </c>
      <c r="Y29" s="34" t="s">
        <v>36</v>
      </c>
      <c r="Z29" s="34"/>
      <c r="AA29" s="34" t="s">
        <v>36</v>
      </c>
      <c r="AB29" s="34" t="s">
        <v>36</v>
      </c>
      <c r="AC29" s="34" t="s">
        <v>36</v>
      </c>
      <c r="AD29" s="85"/>
      <c r="AE29" s="35">
        <v>3</v>
      </c>
      <c r="AF29" s="35">
        <v>3</v>
      </c>
      <c r="AG29" s="35">
        <v>3</v>
      </c>
      <c r="AH29" s="35">
        <v>3</v>
      </c>
      <c r="AI29" s="35">
        <v>3</v>
      </c>
      <c r="AJ29" s="35">
        <v>3</v>
      </c>
      <c r="AK29" s="35">
        <v>3</v>
      </c>
      <c r="AL29" s="35">
        <v>3</v>
      </c>
      <c r="AM29" s="35">
        <v>2</v>
      </c>
      <c r="AN29" s="35">
        <v>3</v>
      </c>
      <c r="AO29" s="38">
        <f t="shared" si="0"/>
        <v>29</v>
      </c>
      <c r="AP29" s="35">
        <v>3</v>
      </c>
      <c r="AQ29" s="35">
        <v>2</v>
      </c>
      <c r="AR29" s="35">
        <v>3</v>
      </c>
      <c r="AS29" s="35">
        <v>3</v>
      </c>
      <c r="AT29" s="35">
        <v>3</v>
      </c>
      <c r="AU29" s="35">
        <v>3</v>
      </c>
      <c r="AV29" s="35">
        <v>3</v>
      </c>
      <c r="AW29" s="35">
        <v>3</v>
      </c>
      <c r="AX29" s="35">
        <v>2</v>
      </c>
      <c r="AY29" s="35">
        <v>2</v>
      </c>
      <c r="AZ29" s="35">
        <v>3</v>
      </c>
      <c r="BA29" s="35">
        <v>2</v>
      </c>
      <c r="BB29" s="86">
        <f t="shared" si="1"/>
        <v>32</v>
      </c>
      <c r="BC29" s="35">
        <v>2</v>
      </c>
      <c r="BD29" s="35">
        <v>3</v>
      </c>
      <c r="BE29" s="35">
        <v>2</v>
      </c>
      <c r="BF29" s="35">
        <v>2</v>
      </c>
      <c r="BG29" s="35">
        <v>2</v>
      </c>
      <c r="BH29" s="35">
        <v>3</v>
      </c>
      <c r="BI29" s="35">
        <v>2</v>
      </c>
      <c r="BJ29" s="35">
        <v>2</v>
      </c>
      <c r="BK29" s="86">
        <f t="shared" si="2"/>
        <v>18</v>
      </c>
      <c r="BL29" s="35">
        <v>3</v>
      </c>
      <c r="BM29" s="35">
        <v>2</v>
      </c>
      <c r="BN29" s="35">
        <v>3</v>
      </c>
      <c r="BO29" s="35">
        <v>3</v>
      </c>
      <c r="BP29" s="35">
        <v>3</v>
      </c>
      <c r="BQ29" s="35">
        <v>2</v>
      </c>
      <c r="BR29" s="35">
        <v>3</v>
      </c>
      <c r="BS29" s="38">
        <f t="shared" si="3"/>
        <v>19</v>
      </c>
      <c r="BT29" s="95"/>
      <c r="BU29" s="84"/>
      <c r="BV29" s="36">
        <f t="shared" si="4"/>
        <v>98</v>
      </c>
      <c r="BW29" s="37" t="str">
        <f t="shared" si="5"/>
        <v>LOGRADO</v>
      </c>
    </row>
    <row r="30" spans="1:75" ht="23.25" customHeight="1" x14ac:dyDescent="0.25">
      <c r="A30" s="79">
        <v>27</v>
      </c>
      <c r="B30" s="80" t="s">
        <v>317</v>
      </c>
      <c r="C30" s="81" t="s">
        <v>318</v>
      </c>
      <c r="D30" s="81" t="s">
        <v>132</v>
      </c>
      <c r="E30" s="91">
        <v>1</v>
      </c>
      <c r="F30" s="94">
        <v>46161</v>
      </c>
      <c r="G30" s="82">
        <v>10</v>
      </c>
      <c r="H30" s="82">
        <v>283</v>
      </c>
      <c r="I30" s="82">
        <v>20</v>
      </c>
      <c r="J30" s="82" t="s">
        <v>37</v>
      </c>
      <c r="K30" s="82">
        <v>2</v>
      </c>
      <c r="L30" s="82">
        <v>1</v>
      </c>
      <c r="M30" s="100" t="s">
        <v>319</v>
      </c>
      <c r="N30" s="101" t="s">
        <v>320</v>
      </c>
      <c r="O30" s="100">
        <v>933126358</v>
      </c>
      <c r="P30" s="100"/>
      <c r="Q30" s="107" t="s">
        <v>321</v>
      </c>
      <c r="R30" s="103"/>
      <c r="S30" s="104"/>
      <c r="T30" s="103"/>
      <c r="U30" s="103"/>
      <c r="V30" s="103"/>
      <c r="W30" s="34" t="s">
        <v>36</v>
      </c>
      <c r="X30" s="34" t="s">
        <v>36</v>
      </c>
      <c r="Y30" s="34" t="s">
        <v>36</v>
      </c>
      <c r="Z30" s="34"/>
      <c r="AA30" s="34" t="s">
        <v>36</v>
      </c>
      <c r="AB30" s="34" t="s">
        <v>36</v>
      </c>
      <c r="AC30" s="34" t="s">
        <v>36</v>
      </c>
      <c r="AD30" s="85"/>
      <c r="AE30" s="35">
        <v>3</v>
      </c>
      <c r="AF30" s="35">
        <v>2</v>
      </c>
      <c r="AG30" s="35">
        <v>3</v>
      </c>
      <c r="AH30" s="35">
        <v>3</v>
      </c>
      <c r="AI30" s="35">
        <v>3</v>
      </c>
      <c r="AJ30" s="35">
        <v>3</v>
      </c>
      <c r="AK30" s="35">
        <v>3</v>
      </c>
      <c r="AL30" s="35">
        <v>3</v>
      </c>
      <c r="AM30" s="35">
        <v>3</v>
      </c>
      <c r="AN30" s="35">
        <v>3</v>
      </c>
      <c r="AO30" s="38">
        <f t="shared" si="0"/>
        <v>29</v>
      </c>
      <c r="AP30" s="35">
        <v>3</v>
      </c>
      <c r="AQ30" s="35">
        <v>2</v>
      </c>
      <c r="AR30" s="35">
        <v>3</v>
      </c>
      <c r="AS30" s="35">
        <v>2</v>
      </c>
      <c r="AT30" s="35">
        <v>2</v>
      </c>
      <c r="AU30" s="35">
        <v>3</v>
      </c>
      <c r="AV30" s="35">
        <v>2</v>
      </c>
      <c r="AW30" s="35">
        <v>3</v>
      </c>
      <c r="AX30" s="35">
        <v>2</v>
      </c>
      <c r="AY30" s="35">
        <v>3</v>
      </c>
      <c r="AZ30" s="35">
        <v>3</v>
      </c>
      <c r="BA30" s="35">
        <v>3</v>
      </c>
      <c r="BB30" s="86">
        <f t="shared" si="1"/>
        <v>31</v>
      </c>
      <c r="BC30" s="35">
        <v>2</v>
      </c>
      <c r="BD30" s="35">
        <v>3</v>
      </c>
      <c r="BE30" s="35">
        <v>2</v>
      </c>
      <c r="BF30" s="35">
        <v>3</v>
      </c>
      <c r="BG30" s="35">
        <v>2</v>
      </c>
      <c r="BH30" s="35">
        <v>3</v>
      </c>
      <c r="BI30" s="35">
        <v>2</v>
      </c>
      <c r="BJ30" s="35">
        <v>3</v>
      </c>
      <c r="BK30" s="86">
        <f t="shared" si="2"/>
        <v>20</v>
      </c>
      <c r="BL30" s="35">
        <v>3</v>
      </c>
      <c r="BM30" s="35">
        <v>3</v>
      </c>
      <c r="BN30" s="35">
        <v>3</v>
      </c>
      <c r="BO30" s="35">
        <v>3</v>
      </c>
      <c r="BP30" s="35">
        <v>3</v>
      </c>
      <c r="BQ30" s="35">
        <v>3</v>
      </c>
      <c r="BR30" s="35">
        <v>2</v>
      </c>
      <c r="BS30" s="38">
        <f t="shared" si="3"/>
        <v>20</v>
      </c>
      <c r="BT30" s="95"/>
      <c r="BU30" s="84"/>
      <c r="BV30" s="36">
        <f t="shared" si="4"/>
        <v>100</v>
      </c>
      <c r="BW30" s="37" t="str">
        <f t="shared" si="5"/>
        <v>LOGRADO</v>
      </c>
    </row>
    <row r="31" spans="1:75" ht="23.25" customHeight="1" x14ac:dyDescent="0.25">
      <c r="A31" s="79">
        <v>28</v>
      </c>
      <c r="B31" s="80" t="s">
        <v>322</v>
      </c>
      <c r="C31" s="81" t="s">
        <v>323</v>
      </c>
      <c r="D31" s="81" t="s">
        <v>132</v>
      </c>
      <c r="E31" s="91">
        <v>1</v>
      </c>
      <c r="F31" s="94">
        <v>46161</v>
      </c>
      <c r="G31" s="82"/>
      <c r="H31" s="82"/>
      <c r="I31" s="82"/>
      <c r="J31" s="82"/>
      <c r="K31" s="82"/>
      <c r="L31" s="82"/>
      <c r="M31" s="100" t="s">
        <v>324</v>
      </c>
      <c r="N31" s="101" t="s">
        <v>325</v>
      </c>
      <c r="O31" s="100">
        <v>933483306</v>
      </c>
      <c r="P31" s="100" t="s">
        <v>185</v>
      </c>
      <c r="Q31" s="107" t="s">
        <v>326</v>
      </c>
      <c r="R31" s="103"/>
      <c r="S31" s="104"/>
      <c r="T31" s="103"/>
      <c r="U31" s="103"/>
      <c r="V31" s="103"/>
      <c r="W31" s="34"/>
      <c r="X31" s="34" t="s">
        <v>37</v>
      </c>
      <c r="Y31" s="34" t="s">
        <v>36</v>
      </c>
      <c r="Z31" s="34" t="s">
        <v>36</v>
      </c>
      <c r="AA31" s="34" t="s">
        <v>36</v>
      </c>
      <c r="AB31" s="34" t="s">
        <v>36</v>
      </c>
      <c r="AC31" s="34"/>
      <c r="AD31" s="85"/>
      <c r="AE31" s="35">
        <v>2</v>
      </c>
      <c r="AF31" s="35">
        <v>1</v>
      </c>
      <c r="AG31" s="35">
        <v>1</v>
      </c>
      <c r="AH31" s="35">
        <v>1</v>
      </c>
      <c r="AI31" s="35">
        <v>1</v>
      </c>
      <c r="AJ31" s="35">
        <v>3</v>
      </c>
      <c r="AK31" s="35">
        <v>3</v>
      </c>
      <c r="AL31" s="35">
        <v>3</v>
      </c>
      <c r="AM31" s="35">
        <v>1</v>
      </c>
      <c r="AN31" s="35">
        <v>3</v>
      </c>
      <c r="AO31" s="38">
        <f t="shared" si="0"/>
        <v>19</v>
      </c>
      <c r="AP31" s="35">
        <v>3</v>
      </c>
      <c r="AQ31" s="35">
        <v>1</v>
      </c>
      <c r="AR31" s="35">
        <v>1</v>
      </c>
      <c r="AS31" s="35">
        <v>2</v>
      </c>
      <c r="AT31" s="35">
        <v>1</v>
      </c>
      <c r="AU31" s="35">
        <v>3</v>
      </c>
      <c r="AV31" s="35">
        <v>1</v>
      </c>
      <c r="AW31" s="35">
        <v>3</v>
      </c>
      <c r="AX31" s="35">
        <v>1</v>
      </c>
      <c r="AY31" s="35">
        <v>3</v>
      </c>
      <c r="AZ31" s="35">
        <v>3</v>
      </c>
      <c r="BA31" s="35">
        <v>2</v>
      </c>
      <c r="BB31" s="86">
        <f t="shared" si="1"/>
        <v>24</v>
      </c>
      <c r="BC31" s="35">
        <v>3</v>
      </c>
      <c r="BD31" s="35">
        <v>3</v>
      </c>
      <c r="BE31" s="35">
        <v>2</v>
      </c>
      <c r="BF31" s="35">
        <v>3</v>
      </c>
      <c r="BG31" s="35">
        <v>2</v>
      </c>
      <c r="BH31" s="35">
        <v>3</v>
      </c>
      <c r="BI31" s="35">
        <v>2</v>
      </c>
      <c r="BJ31" s="35">
        <v>3</v>
      </c>
      <c r="BK31" s="86">
        <f t="shared" si="2"/>
        <v>21</v>
      </c>
      <c r="BL31" s="35">
        <v>3</v>
      </c>
      <c r="BM31" s="35">
        <v>3</v>
      </c>
      <c r="BN31" s="35">
        <v>3</v>
      </c>
      <c r="BO31" s="35">
        <v>3</v>
      </c>
      <c r="BP31" s="35">
        <v>2</v>
      </c>
      <c r="BQ31" s="35">
        <v>2</v>
      </c>
      <c r="BR31" s="35">
        <v>2</v>
      </c>
      <c r="BS31" s="38">
        <f t="shared" si="3"/>
        <v>18</v>
      </c>
      <c r="BT31" s="95"/>
      <c r="BU31" s="84"/>
      <c r="BV31" s="36">
        <f t="shared" si="4"/>
        <v>82</v>
      </c>
      <c r="BW31" s="37" t="str">
        <f t="shared" si="5"/>
        <v>PROCESO</v>
      </c>
    </row>
    <row r="32" spans="1:75" ht="23.25" customHeight="1" x14ac:dyDescent="0.25">
      <c r="A32" s="79">
        <v>29</v>
      </c>
      <c r="B32" s="80" t="s">
        <v>327</v>
      </c>
      <c r="C32" s="81" t="s">
        <v>328</v>
      </c>
      <c r="D32" s="81" t="s">
        <v>132</v>
      </c>
      <c r="E32" s="91">
        <v>13</v>
      </c>
      <c r="F32" s="94">
        <v>46162</v>
      </c>
      <c r="G32" s="82">
        <v>56</v>
      </c>
      <c r="H32" s="82">
        <v>1580</v>
      </c>
      <c r="I32" s="82">
        <v>115</v>
      </c>
      <c r="J32" s="82" t="s">
        <v>37</v>
      </c>
      <c r="K32" s="82">
        <v>7</v>
      </c>
      <c r="L32" s="82">
        <v>2</v>
      </c>
      <c r="M32" s="100" t="s">
        <v>329</v>
      </c>
      <c r="N32" s="101" t="s">
        <v>333</v>
      </c>
      <c r="O32" s="100">
        <v>972517035</v>
      </c>
      <c r="P32" s="100" t="s">
        <v>134</v>
      </c>
      <c r="Q32" s="107" t="s">
        <v>334</v>
      </c>
      <c r="R32" s="103" t="s">
        <v>330</v>
      </c>
      <c r="S32" s="104" t="s">
        <v>331</v>
      </c>
      <c r="T32" s="103">
        <v>995134929</v>
      </c>
      <c r="U32" s="103" t="s">
        <v>134</v>
      </c>
      <c r="V32" s="108" t="s">
        <v>332</v>
      </c>
      <c r="W32" s="34" t="s">
        <v>36</v>
      </c>
      <c r="X32" s="34" t="s">
        <v>37</v>
      </c>
      <c r="Y32" s="34" t="s">
        <v>36</v>
      </c>
      <c r="Z32" s="34"/>
      <c r="AA32" s="34" t="s">
        <v>36</v>
      </c>
      <c r="AB32" s="34" t="s">
        <v>36</v>
      </c>
      <c r="AC32" s="34" t="s">
        <v>36</v>
      </c>
      <c r="AD32" s="85"/>
      <c r="AE32" s="35">
        <v>3</v>
      </c>
      <c r="AF32" s="35">
        <v>3</v>
      </c>
      <c r="AG32" s="35">
        <v>2</v>
      </c>
      <c r="AH32" s="35">
        <v>3</v>
      </c>
      <c r="AI32" s="35">
        <v>2</v>
      </c>
      <c r="AJ32" s="35">
        <v>3</v>
      </c>
      <c r="AK32" s="35">
        <v>3</v>
      </c>
      <c r="AL32" s="35">
        <v>3</v>
      </c>
      <c r="AM32" s="35">
        <v>2</v>
      </c>
      <c r="AN32" s="35">
        <v>3</v>
      </c>
      <c r="AO32" s="38">
        <f t="shared" si="0"/>
        <v>27</v>
      </c>
      <c r="AP32" s="35">
        <v>3</v>
      </c>
      <c r="AQ32" s="35">
        <v>2</v>
      </c>
      <c r="AR32" s="35">
        <v>2</v>
      </c>
      <c r="AS32" s="35">
        <v>1</v>
      </c>
      <c r="AT32" s="35">
        <v>2</v>
      </c>
      <c r="AU32" s="35">
        <v>3</v>
      </c>
      <c r="AV32" s="35">
        <v>2</v>
      </c>
      <c r="AW32" s="35">
        <v>3</v>
      </c>
      <c r="AX32" s="35">
        <v>1</v>
      </c>
      <c r="AY32" s="35">
        <v>3</v>
      </c>
      <c r="AZ32" s="35">
        <v>3</v>
      </c>
      <c r="BA32" s="35">
        <v>3</v>
      </c>
      <c r="BB32" s="86">
        <f t="shared" si="1"/>
        <v>28</v>
      </c>
      <c r="BC32" s="35">
        <v>2</v>
      </c>
      <c r="BD32" s="35">
        <v>3</v>
      </c>
      <c r="BE32" s="35">
        <v>2</v>
      </c>
      <c r="BF32" s="35">
        <v>2</v>
      </c>
      <c r="BG32" s="35">
        <v>1</v>
      </c>
      <c r="BH32" s="35">
        <v>2</v>
      </c>
      <c r="BI32" s="35">
        <v>2</v>
      </c>
      <c r="BJ32" s="35">
        <v>2</v>
      </c>
      <c r="BK32" s="86">
        <f t="shared" si="2"/>
        <v>16</v>
      </c>
      <c r="BL32" s="35">
        <v>3</v>
      </c>
      <c r="BM32" s="35">
        <v>3</v>
      </c>
      <c r="BN32" s="35">
        <v>3</v>
      </c>
      <c r="BO32" s="35">
        <v>3</v>
      </c>
      <c r="BP32" s="35">
        <v>3</v>
      </c>
      <c r="BQ32" s="35">
        <v>3</v>
      </c>
      <c r="BR32" s="35">
        <v>3</v>
      </c>
      <c r="BS32" s="38">
        <f t="shared" si="3"/>
        <v>21</v>
      </c>
      <c r="BT32" s="95"/>
      <c r="BU32" s="84"/>
      <c r="BV32" s="36">
        <f t="shared" si="4"/>
        <v>92</v>
      </c>
      <c r="BW32" s="37" t="str">
        <f t="shared" si="5"/>
        <v>LOGRADO</v>
      </c>
    </row>
    <row r="33" spans="1:75" ht="27.75" customHeight="1" x14ac:dyDescent="0.25">
      <c r="A33" s="124" t="s">
        <v>45</v>
      </c>
      <c r="B33" s="125"/>
      <c r="C33" s="125"/>
      <c r="D33" s="125"/>
      <c r="E33" s="125"/>
      <c r="F33" s="125"/>
      <c r="G33" s="125"/>
      <c r="H33" s="125"/>
      <c r="I33" s="125"/>
      <c r="J33" s="125"/>
      <c r="K33" s="125"/>
      <c r="L33" s="125"/>
      <c r="M33" s="125"/>
      <c r="N33" s="125"/>
      <c r="O33" s="125"/>
      <c r="P33" s="125"/>
      <c r="Q33" s="125"/>
      <c r="R33" s="125"/>
      <c r="S33" s="125"/>
      <c r="T33" s="125"/>
      <c r="U33" s="126"/>
      <c r="V33" s="30" t="s">
        <v>36</v>
      </c>
      <c r="W33" s="31">
        <f t="shared" ref="W33:AC33" si="6">COUNTIF(W4:W32,"SI")</f>
        <v>28</v>
      </c>
      <c r="X33" s="31">
        <f t="shared" si="6"/>
        <v>21</v>
      </c>
      <c r="Y33" s="31">
        <f t="shared" si="6"/>
        <v>21</v>
      </c>
      <c r="Z33" s="31">
        <f t="shared" si="6"/>
        <v>5</v>
      </c>
      <c r="AA33" s="31">
        <f t="shared" si="6"/>
        <v>29</v>
      </c>
      <c r="AB33" s="31">
        <f t="shared" si="6"/>
        <v>29</v>
      </c>
      <c r="AC33" s="31">
        <f t="shared" si="6"/>
        <v>28</v>
      </c>
      <c r="AD33" s="32" t="s">
        <v>46</v>
      </c>
      <c r="AE33" s="33">
        <f t="shared" ref="AE33:AS33" si="7">COUNTIF(AE4:AE32,"1")</f>
        <v>0</v>
      </c>
      <c r="AF33" s="33">
        <f>COUNTIF(AF4:AF32,"1")</f>
        <v>4</v>
      </c>
      <c r="AG33" s="33">
        <f t="shared" si="7"/>
        <v>7</v>
      </c>
      <c r="AH33" s="33">
        <f t="shared" si="7"/>
        <v>1</v>
      </c>
      <c r="AI33" s="33">
        <f t="shared" si="7"/>
        <v>2</v>
      </c>
      <c r="AJ33" s="33">
        <f t="shared" si="7"/>
        <v>0</v>
      </c>
      <c r="AK33" s="33">
        <f>COUNTIF(AK4:AK32,"1")</f>
        <v>0</v>
      </c>
      <c r="AL33" s="33">
        <f>COUNTIF(AL4:AL32,"1")</f>
        <v>0</v>
      </c>
      <c r="AM33" s="33">
        <f t="shared" si="7"/>
        <v>1</v>
      </c>
      <c r="AN33" s="33">
        <f t="shared" si="7"/>
        <v>0</v>
      </c>
      <c r="AO33" s="57"/>
      <c r="AP33" s="33">
        <f t="shared" si="7"/>
        <v>0</v>
      </c>
      <c r="AQ33" s="33">
        <f t="shared" si="7"/>
        <v>8</v>
      </c>
      <c r="AR33" s="33">
        <f t="shared" si="7"/>
        <v>2</v>
      </c>
      <c r="AS33" s="33">
        <f t="shared" si="7"/>
        <v>2</v>
      </c>
      <c r="AT33" s="33">
        <f t="shared" ref="AT33:BR33" si="8">COUNTIF(AT4:AT32,"1")</f>
        <v>7</v>
      </c>
      <c r="AU33" s="33">
        <f t="shared" si="8"/>
        <v>1</v>
      </c>
      <c r="AV33" s="33">
        <f t="shared" si="8"/>
        <v>10</v>
      </c>
      <c r="AW33" s="33">
        <f t="shared" si="8"/>
        <v>0</v>
      </c>
      <c r="AX33" s="33">
        <f t="shared" si="8"/>
        <v>14</v>
      </c>
      <c r="AY33" s="33">
        <f t="shared" si="8"/>
        <v>0</v>
      </c>
      <c r="AZ33" s="33">
        <f t="shared" si="8"/>
        <v>1</v>
      </c>
      <c r="BA33" s="33">
        <f t="shared" si="8"/>
        <v>0</v>
      </c>
      <c r="BB33" s="86"/>
      <c r="BC33" s="33">
        <f t="shared" si="8"/>
        <v>3</v>
      </c>
      <c r="BD33" s="33">
        <f t="shared" si="8"/>
        <v>5</v>
      </c>
      <c r="BE33" s="33">
        <f t="shared" si="8"/>
        <v>2</v>
      </c>
      <c r="BF33" s="33">
        <f t="shared" si="8"/>
        <v>2</v>
      </c>
      <c r="BG33" s="33">
        <f t="shared" si="8"/>
        <v>11</v>
      </c>
      <c r="BH33" s="33">
        <f t="shared" si="8"/>
        <v>8</v>
      </c>
      <c r="BI33" s="33">
        <f t="shared" si="8"/>
        <v>3</v>
      </c>
      <c r="BJ33" s="33">
        <f t="shared" si="8"/>
        <v>3</v>
      </c>
      <c r="BK33" s="86"/>
      <c r="BL33" s="33">
        <f t="shared" si="8"/>
        <v>4</v>
      </c>
      <c r="BM33" s="33">
        <f t="shared" si="8"/>
        <v>4</v>
      </c>
      <c r="BN33" s="33">
        <f t="shared" si="8"/>
        <v>1</v>
      </c>
      <c r="BO33" s="33">
        <f t="shared" si="8"/>
        <v>1</v>
      </c>
      <c r="BP33" s="33">
        <f t="shared" si="8"/>
        <v>2</v>
      </c>
      <c r="BQ33" s="33">
        <f t="shared" si="8"/>
        <v>3</v>
      </c>
      <c r="BR33" s="33">
        <f t="shared" si="8"/>
        <v>3</v>
      </c>
      <c r="BS33" s="38"/>
      <c r="BT33" s="97"/>
      <c r="BU33" s="97"/>
      <c r="BV33" s="97"/>
      <c r="BW33" s="97"/>
    </row>
    <row r="34" spans="1:75" ht="27.75" customHeight="1" x14ac:dyDescent="0.25">
      <c r="A34" s="127"/>
      <c r="B34" s="128"/>
      <c r="C34" s="128"/>
      <c r="D34" s="128"/>
      <c r="E34" s="128"/>
      <c r="F34" s="128"/>
      <c r="G34" s="128"/>
      <c r="H34" s="128"/>
      <c r="I34" s="128"/>
      <c r="J34" s="128"/>
      <c r="K34" s="128"/>
      <c r="L34" s="128"/>
      <c r="M34" s="128"/>
      <c r="N34" s="128"/>
      <c r="O34" s="128"/>
      <c r="P34" s="128"/>
      <c r="Q34" s="128"/>
      <c r="R34" s="128"/>
      <c r="S34" s="128"/>
      <c r="T34" s="128"/>
      <c r="U34" s="129"/>
      <c r="V34" s="24" t="s">
        <v>37</v>
      </c>
      <c r="W34" s="22">
        <f t="shared" ref="W34:AC34" si="9">COUNTIF(W4:W32,"NO")</f>
        <v>0</v>
      </c>
      <c r="X34" s="22">
        <f t="shared" si="9"/>
        <v>8</v>
      </c>
      <c r="Y34" s="22">
        <f t="shared" si="9"/>
        <v>8</v>
      </c>
      <c r="Z34" s="22">
        <f t="shared" si="9"/>
        <v>0</v>
      </c>
      <c r="AA34" s="22">
        <f t="shared" si="9"/>
        <v>0</v>
      </c>
      <c r="AB34" s="22">
        <f t="shared" si="9"/>
        <v>0</v>
      </c>
      <c r="AC34" s="22">
        <f t="shared" si="9"/>
        <v>0</v>
      </c>
      <c r="AD34" s="17" t="s">
        <v>47</v>
      </c>
      <c r="AE34" s="11">
        <f t="shared" ref="AE34:AS34" si="10">COUNTIF(AE4:AE32,"2")</f>
        <v>12</v>
      </c>
      <c r="AF34" s="11">
        <f t="shared" si="10"/>
        <v>10</v>
      </c>
      <c r="AG34" s="11">
        <f t="shared" si="10"/>
        <v>11</v>
      </c>
      <c r="AH34" s="11">
        <f t="shared" si="10"/>
        <v>6</v>
      </c>
      <c r="AI34" s="11">
        <f t="shared" si="10"/>
        <v>6</v>
      </c>
      <c r="AJ34" s="11">
        <f t="shared" si="10"/>
        <v>0</v>
      </c>
      <c r="AK34" s="11">
        <f>COUNTIF(AK5:AK33,"2")</f>
        <v>0</v>
      </c>
      <c r="AL34" s="11">
        <f>COUNTIF(AL5:AL33,"2")</f>
        <v>3</v>
      </c>
      <c r="AM34" s="11">
        <f t="shared" si="10"/>
        <v>13</v>
      </c>
      <c r="AN34" s="11">
        <f t="shared" si="10"/>
        <v>0</v>
      </c>
      <c r="AO34" s="58"/>
      <c r="AP34" s="11">
        <f t="shared" si="10"/>
        <v>2</v>
      </c>
      <c r="AQ34" s="11">
        <f t="shared" si="10"/>
        <v>18</v>
      </c>
      <c r="AR34" s="11">
        <f t="shared" si="10"/>
        <v>5</v>
      </c>
      <c r="AS34" s="11">
        <f t="shared" si="10"/>
        <v>4</v>
      </c>
      <c r="AT34" s="11">
        <f t="shared" ref="AT34:BR34" si="11">COUNTIF(AT4:AT32,"2")</f>
        <v>8</v>
      </c>
      <c r="AU34" s="11">
        <f t="shared" si="11"/>
        <v>12</v>
      </c>
      <c r="AV34" s="11">
        <f t="shared" si="11"/>
        <v>16</v>
      </c>
      <c r="AW34" s="11">
        <f t="shared" si="11"/>
        <v>2</v>
      </c>
      <c r="AX34" s="11">
        <f t="shared" si="11"/>
        <v>11</v>
      </c>
      <c r="AY34" s="11">
        <f t="shared" si="11"/>
        <v>1</v>
      </c>
      <c r="AZ34" s="11">
        <f t="shared" si="11"/>
        <v>4</v>
      </c>
      <c r="BA34" s="11">
        <f t="shared" si="11"/>
        <v>10</v>
      </c>
      <c r="BB34" s="86"/>
      <c r="BC34" s="11">
        <f t="shared" si="11"/>
        <v>24</v>
      </c>
      <c r="BD34" s="11">
        <f t="shared" si="11"/>
        <v>9</v>
      </c>
      <c r="BE34" s="11">
        <f t="shared" si="11"/>
        <v>14</v>
      </c>
      <c r="BF34" s="11">
        <f t="shared" si="11"/>
        <v>13</v>
      </c>
      <c r="BG34" s="11">
        <f t="shared" si="11"/>
        <v>18</v>
      </c>
      <c r="BH34" s="11">
        <f t="shared" si="11"/>
        <v>9</v>
      </c>
      <c r="BI34" s="11">
        <f t="shared" si="11"/>
        <v>16</v>
      </c>
      <c r="BJ34" s="11">
        <f t="shared" si="11"/>
        <v>5</v>
      </c>
      <c r="BK34" s="86"/>
      <c r="BL34" s="11">
        <f t="shared" si="11"/>
        <v>7</v>
      </c>
      <c r="BM34" s="11">
        <f t="shared" si="11"/>
        <v>3</v>
      </c>
      <c r="BN34" s="11">
        <f t="shared" si="11"/>
        <v>0</v>
      </c>
      <c r="BO34" s="11">
        <f t="shared" si="11"/>
        <v>2</v>
      </c>
      <c r="BP34" s="11">
        <f t="shared" si="11"/>
        <v>1</v>
      </c>
      <c r="BQ34" s="11">
        <f t="shared" si="11"/>
        <v>6</v>
      </c>
      <c r="BR34" s="11">
        <f t="shared" si="11"/>
        <v>5</v>
      </c>
      <c r="BS34" s="38"/>
      <c r="BT34" s="97"/>
      <c r="BU34" s="97"/>
      <c r="BV34" s="97"/>
      <c r="BW34" s="97"/>
    </row>
    <row r="35" spans="1:75" ht="27.75" customHeight="1" x14ac:dyDescent="0.25">
      <c r="A35" s="130"/>
      <c r="B35" s="131"/>
      <c r="C35" s="131"/>
      <c r="D35" s="131"/>
      <c r="E35" s="131"/>
      <c r="F35" s="131"/>
      <c r="G35" s="131"/>
      <c r="H35" s="131"/>
      <c r="I35" s="131"/>
      <c r="J35" s="131"/>
      <c r="K35" s="131"/>
      <c r="L35" s="131"/>
      <c r="M35" s="131"/>
      <c r="N35" s="131"/>
      <c r="O35" s="131"/>
      <c r="P35" s="131"/>
      <c r="Q35" s="131"/>
      <c r="R35" s="131"/>
      <c r="S35" s="131"/>
      <c r="T35" s="131"/>
      <c r="U35" s="132"/>
      <c r="V35" s="24" t="s">
        <v>48</v>
      </c>
      <c r="W35" s="22">
        <f>+SUM(W33:W34)</f>
        <v>28</v>
      </c>
      <c r="X35" s="22">
        <f t="shared" ref="X35:AC35" si="12">+SUM(X33:X34)</f>
        <v>29</v>
      </c>
      <c r="Y35" s="22">
        <f t="shared" si="12"/>
        <v>29</v>
      </c>
      <c r="Z35" s="22">
        <f t="shared" si="12"/>
        <v>5</v>
      </c>
      <c r="AA35" s="22">
        <f t="shared" si="12"/>
        <v>29</v>
      </c>
      <c r="AB35" s="22">
        <f t="shared" si="12"/>
        <v>29</v>
      </c>
      <c r="AC35" s="22">
        <f t="shared" si="12"/>
        <v>28</v>
      </c>
      <c r="AD35" s="17" t="s">
        <v>49</v>
      </c>
      <c r="AE35" s="11">
        <f t="shared" ref="AE35:AS35" si="13">COUNTIF(AE4:AE32,"3")</f>
        <v>17</v>
      </c>
      <c r="AF35" s="11">
        <f t="shared" si="13"/>
        <v>15</v>
      </c>
      <c r="AG35" s="11">
        <f t="shared" si="13"/>
        <v>11</v>
      </c>
      <c r="AH35" s="11">
        <f t="shared" si="13"/>
        <v>22</v>
      </c>
      <c r="AI35" s="11">
        <f t="shared" si="13"/>
        <v>20</v>
      </c>
      <c r="AJ35" s="11">
        <f t="shared" si="13"/>
        <v>28</v>
      </c>
      <c r="AK35" s="11">
        <f>COUNTIF(AK6:AK34,"3")</f>
        <v>27</v>
      </c>
      <c r="AL35" s="11">
        <f>COUNTIF(AL6:AL34,"3")</f>
        <v>25</v>
      </c>
      <c r="AM35" s="11">
        <f t="shared" si="13"/>
        <v>15</v>
      </c>
      <c r="AN35" s="11">
        <f t="shared" si="13"/>
        <v>29</v>
      </c>
      <c r="AO35" s="58"/>
      <c r="AP35" s="11">
        <f t="shared" si="13"/>
        <v>26</v>
      </c>
      <c r="AQ35" s="11">
        <f t="shared" si="13"/>
        <v>3</v>
      </c>
      <c r="AR35" s="11">
        <f t="shared" si="13"/>
        <v>22</v>
      </c>
      <c r="AS35" s="11">
        <f t="shared" si="13"/>
        <v>23</v>
      </c>
      <c r="AT35" s="11">
        <f t="shared" ref="AT35:BR35" si="14">COUNTIF(AT4:AT32,"3")</f>
        <v>14</v>
      </c>
      <c r="AU35" s="11">
        <f t="shared" si="14"/>
        <v>16</v>
      </c>
      <c r="AV35" s="11">
        <f t="shared" si="14"/>
        <v>3</v>
      </c>
      <c r="AW35" s="11">
        <f t="shared" si="14"/>
        <v>27</v>
      </c>
      <c r="AX35" s="11">
        <f t="shared" si="14"/>
        <v>4</v>
      </c>
      <c r="AY35" s="11">
        <f t="shared" si="14"/>
        <v>28</v>
      </c>
      <c r="AZ35" s="11">
        <f t="shared" si="14"/>
        <v>24</v>
      </c>
      <c r="BA35" s="11">
        <f t="shared" si="14"/>
        <v>19</v>
      </c>
      <c r="BB35" s="86"/>
      <c r="BC35" s="11">
        <f t="shared" si="14"/>
        <v>2</v>
      </c>
      <c r="BD35" s="11">
        <f t="shared" si="14"/>
        <v>15</v>
      </c>
      <c r="BE35" s="11">
        <f t="shared" si="14"/>
        <v>13</v>
      </c>
      <c r="BF35" s="11">
        <f t="shared" si="14"/>
        <v>14</v>
      </c>
      <c r="BG35" s="11">
        <f t="shared" si="14"/>
        <v>0</v>
      </c>
      <c r="BH35" s="11">
        <f t="shared" si="14"/>
        <v>12</v>
      </c>
      <c r="BI35" s="11">
        <f t="shared" si="14"/>
        <v>10</v>
      </c>
      <c r="BJ35" s="11">
        <f t="shared" si="14"/>
        <v>21</v>
      </c>
      <c r="BK35" s="86"/>
      <c r="BL35" s="11">
        <f t="shared" si="14"/>
        <v>18</v>
      </c>
      <c r="BM35" s="11">
        <f t="shared" si="14"/>
        <v>22</v>
      </c>
      <c r="BN35" s="11">
        <f t="shared" si="14"/>
        <v>28</v>
      </c>
      <c r="BO35" s="11">
        <f t="shared" si="14"/>
        <v>26</v>
      </c>
      <c r="BP35" s="11">
        <f t="shared" si="14"/>
        <v>22</v>
      </c>
      <c r="BQ35" s="11">
        <f t="shared" si="14"/>
        <v>16</v>
      </c>
      <c r="BR35" s="11">
        <f t="shared" si="14"/>
        <v>17</v>
      </c>
      <c r="BS35" s="38"/>
      <c r="BT35" s="97"/>
      <c r="BU35" s="97"/>
      <c r="BV35" s="97"/>
      <c r="BW35" s="97"/>
    </row>
    <row r="36" spans="1:75" ht="31.5" customHeight="1" x14ac:dyDescent="0.25">
      <c r="A36" s="97"/>
      <c r="B36" s="97"/>
      <c r="C36" s="97"/>
      <c r="D36" s="98"/>
      <c r="E36" s="97"/>
      <c r="F36" s="97"/>
      <c r="G36" s="97"/>
      <c r="H36" s="97"/>
      <c r="I36" s="97"/>
      <c r="J36" s="97"/>
      <c r="K36" s="97"/>
      <c r="L36" s="97"/>
      <c r="M36" s="97"/>
      <c r="N36" s="98"/>
      <c r="O36" s="97"/>
      <c r="P36" s="97"/>
      <c r="Q36" s="97"/>
      <c r="R36" s="97"/>
      <c r="S36" s="98"/>
      <c r="T36" s="97"/>
      <c r="U36" s="97"/>
      <c r="V36" s="97"/>
      <c r="W36" s="99"/>
      <c r="X36" s="99"/>
      <c r="Y36" s="99"/>
      <c r="Z36" s="99"/>
      <c r="AA36" s="99"/>
      <c r="AB36" s="99"/>
      <c r="AC36" s="99"/>
      <c r="AD36" s="17" t="s">
        <v>50</v>
      </c>
      <c r="AE36" s="12">
        <f>+SUM(AE33:AE35)</f>
        <v>29</v>
      </c>
      <c r="AF36" s="12">
        <f t="shared" ref="AF36:AN36" si="15">+SUM(AF33:AF35)</f>
        <v>29</v>
      </c>
      <c r="AG36" s="12">
        <f t="shared" si="15"/>
        <v>29</v>
      </c>
      <c r="AH36" s="12">
        <f t="shared" si="15"/>
        <v>29</v>
      </c>
      <c r="AI36" s="12">
        <f t="shared" si="15"/>
        <v>28</v>
      </c>
      <c r="AJ36" s="12">
        <f t="shared" si="15"/>
        <v>28</v>
      </c>
      <c r="AK36" s="12">
        <f>+SUM(AK33:AK35)</f>
        <v>27</v>
      </c>
      <c r="AL36" s="12">
        <f>+SUM(AL33:AL35)</f>
        <v>28</v>
      </c>
      <c r="AM36" s="12">
        <f t="shared" si="15"/>
        <v>29</v>
      </c>
      <c r="AN36" s="12">
        <f t="shared" si="15"/>
        <v>29</v>
      </c>
      <c r="AO36" s="59"/>
      <c r="AP36" s="14">
        <f>+SUM(AP33:AP35)</f>
        <v>28</v>
      </c>
      <c r="AQ36" s="14">
        <f t="shared" ref="AQ36:AS36" si="16">+SUM(AQ33:AQ35)</f>
        <v>29</v>
      </c>
      <c r="AR36" s="14">
        <f t="shared" si="16"/>
        <v>29</v>
      </c>
      <c r="AS36" s="14">
        <f t="shared" si="16"/>
        <v>29</v>
      </c>
      <c r="AT36" s="14">
        <f t="shared" ref="AT36:BR36" si="17">+SUM(AT33:AT35)</f>
        <v>29</v>
      </c>
      <c r="AU36" s="14">
        <f t="shared" si="17"/>
        <v>29</v>
      </c>
      <c r="AV36" s="14">
        <f t="shared" si="17"/>
        <v>29</v>
      </c>
      <c r="AW36" s="14">
        <f t="shared" si="17"/>
        <v>29</v>
      </c>
      <c r="AX36" s="14">
        <f t="shared" si="17"/>
        <v>29</v>
      </c>
      <c r="AY36" s="14">
        <f t="shared" si="17"/>
        <v>29</v>
      </c>
      <c r="AZ36" s="14">
        <f t="shared" si="17"/>
        <v>29</v>
      </c>
      <c r="BA36" s="14">
        <f t="shared" si="17"/>
        <v>29</v>
      </c>
      <c r="BB36" s="54"/>
      <c r="BC36" s="13">
        <f t="shared" si="17"/>
        <v>29</v>
      </c>
      <c r="BD36" s="13">
        <f t="shared" si="17"/>
        <v>29</v>
      </c>
      <c r="BE36" s="13">
        <f t="shared" si="17"/>
        <v>29</v>
      </c>
      <c r="BF36" s="13">
        <f t="shared" si="17"/>
        <v>29</v>
      </c>
      <c r="BG36" s="13">
        <f t="shared" si="17"/>
        <v>29</v>
      </c>
      <c r="BH36" s="13">
        <f t="shared" si="17"/>
        <v>29</v>
      </c>
      <c r="BI36" s="13">
        <f t="shared" si="17"/>
        <v>29</v>
      </c>
      <c r="BJ36" s="13">
        <f t="shared" si="17"/>
        <v>29</v>
      </c>
      <c r="BK36" s="54"/>
      <c r="BL36" s="23">
        <f t="shared" si="17"/>
        <v>29</v>
      </c>
      <c r="BM36" s="23">
        <f t="shared" si="17"/>
        <v>29</v>
      </c>
      <c r="BN36" s="23">
        <f t="shared" si="17"/>
        <v>29</v>
      </c>
      <c r="BO36" s="23">
        <f t="shared" si="17"/>
        <v>29</v>
      </c>
      <c r="BP36" s="23">
        <f t="shared" si="17"/>
        <v>25</v>
      </c>
      <c r="BQ36" s="23">
        <f t="shared" si="17"/>
        <v>25</v>
      </c>
      <c r="BR36" s="23">
        <f t="shared" si="17"/>
        <v>25</v>
      </c>
      <c r="BS36" s="38"/>
      <c r="BT36" s="97"/>
      <c r="BU36" s="97"/>
      <c r="BV36" s="97"/>
      <c r="BW36" s="97"/>
    </row>
    <row r="38" spans="1:75" ht="27" customHeight="1" x14ac:dyDescent="0.25">
      <c r="AC38" s="139" t="s">
        <v>51</v>
      </c>
      <c r="AD38" s="18" t="s">
        <v>46</v>
      </c>
      <c r="AE38" s="21">
        <f>+AE33/AE36</f>
        <v>0</v>
      </c>
      <c r="AF38" s="21">
        <f t="shared" ref="AF38:AG38" si="18">+AF33/AF36</f>
        <v>0.13793103448275862</v>
      </c>
      <c r="AG38" s="21">
        <f t="shared" si="18"/>
        <v>0.2413793103448276</v>
      </c>
      <c r="AH38" s="21">
        <f t="shared" ref="AH38:BR38" si="19">+AH33/AH36</f>
        <v>3.4482758620689655E-2</v>
      </c>
      <c r="AI38" s="21">
        <f t="shared" si="19"/>
        <v>7.1428571428571425E-2</v>
      </c>
      <c r="AJ38" s="21">
        <f t="shared" si="19"/>
        <v>0</v>
      </c>
      <c r="AK38" s="21">
        <f t="shared" si="19"/>
        <v>0</v>
      </c>
      <c r="AL38" s="21">
        <f t="shared" si="19"/>
        <v>0</v>
      </c>
      <c r="AM38" s="21">
        <f t="shared" si="19"/>
        <v>3.4482758620689655E-2</v>
      </c>
      <c r="AN38" s="21">
        <f t="shared" si="19"/>
        <v>0</v>
      </c>
      <c r="AO38" s="60"/>
      <c r="AP38" s="21">
        <f t="shared" si="19"/>
        <v>0</v>
      </c>
      <c r="AQ38" s="21">
        <f t="shared" si="19"/>
        <v>0.27586206896551724</v>
      </c>
      <c r="AR38" s="21">
        <f t="shared" si="19"/>
        <v>6.8965517241379309E-2</v>
      </c>
      <c r="AS38" s="21">
        <f t="shared" si="19"/>
        <v>6.8965517241379309E-2</v>
      </c>
      <c r="AT38" s="21">
        <f t="shared" si="19"/>
        <v>0.2413793103448276</v>
      </c>
      <c r="AU38" s="21">
        <f t="shared" si="19"/>
        <v>3.4482758620689655E-2</v>
      </c>
      <c r="AV38" s="21">
        <f t="shared" si="19"/>
        <v>0.34482758620689657</v>
      </c>
      <c r="AW38" s="21">
        <f t="shared" si="19"/>
        <v>0</v>
      </c>
      <c r="AX38" s="21">
        <f t="shared" si="19"/>
        <v>0.48275862068965519</v>
      </c>
      <c r="AY38" s="21">
        <f t="shared" si="19"/>
        <v>0</v>
      </c>
      <c r="AZ38" s="21">
        <f t="shared" si="19"/>
        <v>3.4482758620689655E-2</v>
      </c>
      <c r="BA38" s="21">
        <f t="shared" si="19"/>
        <v>0</v>
      </c>
      <c r="BB38" s="56"/>
      <c r="BC38" s="21">
        <f t="shared" si="19"/>
        <v>0.10344827586206896</v>
      </c>
      <c r="BD38" s="21">
        <f t="shared" si="19"/>
        <v>0.17241379310344829</v>
      </c>
      <c r="BE38" s="21">
        <f t="shared" si="19"/>
        <v>6.8965517241379309E-2</v>
      </c>
      <c r="BF38" s="21">
        <f t="shared" si="19"/>
        <v>6.8965517241379309E-2</v>
      </c>
      <c r="BG38" s="21">
        <f t="shared" si="19"/>
        <v>0.37931034482758619</v>
      </c>
      <c r="BH38" s="21">
        <f t="shared" si="19"/>
        <v>0.27586206896551724</v>
      </c>
      <c r="BI38" s="21">
        <f t="shared" si="19"/>
        <v>0.10344827586206896</v>
      </c>
      <c r="BJ38" s="21">
        <f t="shared" si="19"/>
        <v>0.10344827586206896</v>
      </c>
      <c r="BK38" s="56"/>
      <c r="BL38" s="21">
        <f t="shared" si="19"/>
        <v>0.13793103448275862</v>
      </c>
      <c r="BM38" s="21">
        <f t="shared" si="19"/>
        <v>0.13793103448275862</v>
      </c>
      <c r="BN38" s="21">
        <f t="shared" si="19"/>
        <v>3.4482758620689655E-2</v>
      </c>
      <c r="BO38" s="21">
        <f t="shared" si="19"/>
        <v>3.4482758620689655E-2</v>
      </c>
      <c r="BP38" s="21">
        <f t="shared" si="19"/>
        <v>0.08</v>
      </c>
      <c r="BQ38" s="21">
        <f t="shared" si="19"/>
        <v>0.12</v>
      </c>
      <c r="BR38" s="21">
        <f t="shared" si="19"/>
        <v>0.12</v>
      </c>
      <c r="BS38" s="53"/>
    </row>
    <row r="39" spans="1:75" ht="27" customHeight="1" x14ac:dyDescent="0.25">
      <c r="AC39" s="139"/>
      <c r="AD39" s="18" t="s">
        <v>47</v>
      </c>
      <c r="AE39" s="21">
        <f>+AE34/AE36</f>
        <v>0.41379310344827586</v>
      </c>
      <c r="AF39" s="21">
        <f>+AF34/AF36</f>
        <v>0.34482758620689657</v>
      </c>
      <c r="AG39" s="21">
        <f t="shared" ref="AG39" si="20">+AG34/AG36</f>
        <v>0.37931034482758619</v>
      </c>
      <c r="AH39" s="21">
        <f t="shared" ref="AH39:BR39" si="21">+AH34/AH36</f>
        <v>0.20689655172413793</v>
      </c>
      <c r="AI39" s="21">
        <f t="shared" si="21"/>
        <v>0.21428571428571427</v>
      </c>
      <c r="AJ39" s="21">
        <f t="shared" si="21"/>
        <v>0</v>
      </c>
      <c r="AK39" s="21">
        <f t="shared" si="21"/>
        <v>0</v>
      </c>
      <c r="AL39" s="21">
        <f t="shared" si="21"/>
        <v>0.10714285714285714</v>
      </c>
      <c r="AM39" s="21">
        <f t="shared" si="21"/>
        <v>0.44827586206896552</v>
      </c>
      <c r="AN39" s="21">
        <f t="shared" si="21"/>
        <v>0</v>
      </c>
      <c r="AO39" s="60"/>
      <c r="AP39" s="21">
        <f t="shared" si="21"/>
        <v>7.1428571428571425E-2</v>
      </c>
      <c r="AQ39" s="21">
        <f t="shared" si="21"/>
        <v>0.62068965517241381</v>
      </c>
      <c r="AR39" s="21">
        <f t="shared" si="21"/>
        <v>0.17241379310344829</v>
      </c>
      <c r="AS39" s="21">
        <f t="shared" si="21"/>
        <v>0.13793103448275862</v>
      </c>
      <c r="AT39" s="21">
        <f t="shared" si="21"/>
        <v>0.27586206896551724</v>
      </c>
      <c r="AU39" s="21">
        <f t="shared" si="21"/>
        <v>0.41379310344827586</v>
      </c>
      <c r="AV39" s="21">
        <f t="shared" si="21"/>
        <v>0.55172413793103448</v>
      </c>
      <c r="AW39" s="21">
        <f t="shared" si="21"/>
        <v>6.8965517241379309E-2</v>
      </c>
      <c r="AX39" s="21">
        <f t="shared" si="21"/>
        <v>0.37931034482758619</v>
      </c>
      <c r="AY39" s="21">
        <f t="shared" si="21"/>
        <v>3.4482758620689655E-2</v>
      </c>
      <c r="AZ39" s="21">
        <f t="shared" si="21"/>
        <v>0.13793103448275862</v>
      </c>
      <c r="BA39" s="21">
        <f t="shared" si="21"/>
        <v>0.34482758620689657</v>
      </c>
      <c r="BB39" s="56"/>
      <c r="BC39" s="21">
        <f t="shared" si="21"/>
        <v>0.82758620689655171</v>
      </c>
      <c r="BD39" s="21">
        <f t="shared" si="21"/>
        <v>0.31034482758620691</v>
      </c>
      <c r="BE39" s="21">
        <f t="shared" si="21"/>
        <v>0.48275862068965519</v>
      </c>
      <c r="BF39" s="21">
        <f t="shared" si="21"/>
        <v>0.44827586206896552</v>
      </c>
      <c r="BG39" s="21">
        <f t="shared" si="21"/>
        <v>0.62068965517241381</v>
      </c>
      <c r="BH39" s="21">
        <f t="shared" si="21"/>
        <v>0.31034482758620691</v>
      </c>
      <c r="BI39" s="21">
        <f t="shared" si="21"/>
        <v>0.55172413793103448</v>
      </c>
      <c r="BJ39" s="21">
        <f t="shared" si="21"/>
        <v>0.17241379310344829</v>
      </c>
      <c r="BK39" s="56"/>
      <c r="BL39" s="21">
        <f t="shared" si="21"/>
        <v>0.2413793103448276</v>
      </c>
      <c r="BM39" s="21">
        <f t="shared" si="21"/>
        <v>0.10344827586206896</v>
      </c>
      <c r="BN39" s="21">
        <f t="shared" si="21"/>
        <v>0</v>
      </c>
      <c r="BO39" s="21">
        <f t="shared" si="21"/>
        <v>6.8965517241379309E-2</v>
      </c>
      <c r="BP39" s="21">
        <f t="shared" si="21"/>
        <v>0.04</v>
      </c>
      <c r="BQ39" s="21">
        <f t="shared" si="21"/>
        <v>0.24</v>
      </c>
      <c r="BR39" s="21">
        <f t="shared" si="21"/>
        <v>0.2</v>
      </c>
      <c r="BS39" s="53"/>
    </row>
    <row r="40" spans="1:75" ht="27" customHeight="1" x14ac:dyDescent="0.25">
      <c r="AC40" s="139"/>
      <c r="AD40" s="18" t="s">
        <v>49</v>
      </c>
      <c r="AE40" s="21">
        <f>+AE35/AE36</f>
        <v>0.58620689655172409</v>
      </c>
      <c r="AF40" s="21">
        <f>+AF35/AF36</f>
        <v>0.51724137931034486</v>
      </c>
      <c r="AG40" s="21">
        <f t="shared" ref="AG40" si="22">+AG35/AG36</f>
        <v>0.37931034482758619</v>
      </c>
      <c r="AH40" s="21">
        <f t="shared" ref="AH40:BR40" si="23">+AH35/AH36</f>
        <v>0.75862068965517238</v>
      </c>
      <c r="AI40" s="21">
        <f t="shared" si="23"/>
        <v>0.7142857142857143</v>
      </c>
      <c r="AJ40" s="21">
        <f t="shared" si="23"/>
        <v>1</v>
      </c>
      <c r="AK40" s="21">
        <f t="shared" si="23"/>
        <v>1</v>
      </c>
      <c r="AL40" s="21">
        <f t="shared" si="23"/>
        <v>0.8928571428571429</v>
      </c>
      <c r="AM40" s="21">
        <f t="shared" si="23"/>
        <v>0.51724137931034486</v>
      </c>
      <c r="AN40" s="21">
        <f t="shared" si="23"/>
        <v>1</v>
      </c>
      <c r="AO40" s="60"/>
      <c r="AP40" s="21">
        <f t="shared" si="23"/>
        <v>0.9285714285714286</v>
      </c>
      <c r="AQ40" s="21">
        <f t="shared" si="23"/>
        <v>0.10344827586206896</v>
      </c>
      <c r="AR40" s="21">
        <f t="shared" si="23"/>
        <v>0.75862068965517238</v>
      </c>
      <c r="AS40" s="21">
        <f t="shared" si="23"/>
        <v>0.7931034482758621</v>
      </c>
      <c r="AT40" s="21">
        <f t="shared" si="23"/>
        <v>0.48275862068965519</v>
      </c>
      <c r="AU40" s="21">
        <f t="shared" si="23"/>
        <v>0.55172413793103448</v>
      </c>
      <c r="AV40" s="21">
        <f t="shared" si="23"/>
        <v>0.10344827586206896</v>
      </c>
      <c r="AW40" s="21">
        <f t="shared" si="23"/>
        <v>0.93103448275862066</v>
      </c>
      <c r="AX40" s="21">
        <f t="shared" si="23"/>
        <v>0.13793103448275862</v>
      </c>
      <c r="AY40" s="21">
        <f t="shared" si="23"/>
        <v>0.96551724137931039</v>
      </c>
      <c r="AZ40" s="21">
        <f t="shared" si="23"/>
        <v>0.82758620689655171</v>
      </c>
      <c r="BA40" s="21">
        <f t="shared" si="23"/>
        <v>0.65517241379310343</v>
      </c>
      <c r="BB40" s="56"/>
      <c r="BC40" s="21">
        <f t="shared" si="23"/>
        <v>6.8965517241379309E-2</v>
      </c>
      <c r="BD40" s="21">
        <f t="shared" si="23"/>
        <v>0.51724137931034486</v>
      </c>
      <c r="BE40" s="21">
        <f t="shared" si="23"/>
        <v>0.44827586206896552</v>
      </c>
      <c r="BF40" s="21">
        <f t="shared" si="23"/>
        <v>0.48275862068965519</v>
      </c>
      <c r="BG40" s="21">
        <f t="shared" si="23"/>
        <v>0</v>
      </c>
      <c r="BH40" s="21">
        <f t="shared" si="23"/>
        <v>0.41379310344827586</v>
      </c>
      <c r="BI40" s="21">
        <f t="shared" si="23"/>
        <v>0.34482758620689657</v>
      </c>
      <c r="BJ40" s="21">
        <f t="shared" si="23"/>
        <v>0.72413793103448276</v>
      </c>
      <c r="BK40" s="56"/>
      <c r="BL40" s="21">
        <f t="shared" si="23"/>
        <v>0.62068965517241381</v>
      </c>
      <c r="BM40" s="21">
        <f t="shared" si="23"/>
        <v>0.75862068965517238</v>
      </c>
      <c r="BN40" s="21">
        <f t="shared" si="23"/>
        <v>0.96551724137931039</v>
      </c>
      <c r="BO40" s="21">
        <f t="shared" si="23"/>
        <v>0.89655172413793105</v>
      </c>
      <c r="BP40" s="21">
        <f t="shared" si="23"/>
        <v>0.88</v>
      </c>
      <c r="BQ40" s="21">
        <f t="shared" si="23"/>
        <v>0.64</v>
      </c>
      <c r="BR40" s="21">
        <f t="shared" si="23"/>
        <v>0.68</v>
      </c>
      <c r="BS40" s="53"/>
    </row>
    <row r="48" spans="1:75" ht="23.25" customHeight="1" x14ac:dyDescent="0.25"/>
    <row r="49" ht="23.25" customHeight="1" x14ac:dyDescent="0.25"/>
    <row r="50" ht="23.25" customHeight="1" x14ac:dyDescent="0.25"/>
  </sheetData>
  <mergeCells count="19">
    <mergeCell ref="A33:U35"/>
    <mergeCell ref="BK1:BK3"/>
    <mergeCell ref="BS1:BS3"/>
    <mergeCell ref="AC38:AC40"/>
    <mergeCell ref="BT1:BT3"/>
    <mergeCell ref="BL1:BR1"/>
    <mergeCell ref="W1:AC1"/>
    <mergeCell ref="AE1:AN1"/>
    <mergeCell ref="AP1:BA1"/>
    <mergeCell ref="BC1:BJ1"/>
    <mergeCell ref="BB1:BB3"/>
    <mergeCell ref="AO1:AO3"/>
    <mergeCell ref="CB4:CD4"/>
    <mergeCell ref="BU1:BU3"/>
    <mergeCell ref="BV1:BV3"/>
    <mergeCell ref="BW1:BW3"/>
    <mergeCell ref="A1:L2"/>
    <mergeCell ref="M1:Q2"/>
    <mergeCell ref="R1:V2"/>
  </mergeCells>
  <dataValidations count="1">
    <dataValidation type="list" allowBlank="1" showInputMessage="1" showErrorMessage="1" sqref="J4">
      <formula1>"SI,NO"</formula1>
    </dataValidation>
  </dataValidations>
  <hyperlinks>
    <hyperlink ref="Q4" r:id="rId1"/>
    <hyperlink ref="V4" r:id="rId2"/>
    <hyperlink ref="Q5" r:id="rId3"/>
    <hyperlink ref="V6" r:id="rId4"/>
    <hyperlink ref="Q7" r:id="rId5"/>
    <hyperlink ref="V7" r:id="rId6"/>
    <hyperlink ref="Q8" r:id="rId7"/>
    <hyperlink ref="V8" r:id="rId8"/>
    <hyperlink ref="Q9" r:id="rId9"/>
    <hyperlink ref="Q10" r:id="rId10"/>
    <hyperlink ref="V10" r:id="rId11"/>
    <hyperlink ref="Q11" r:id="rId12"/>
    <hyperlink ref="V11" r:id="rId13"/>
    <hyperlink ref="Q12" r:id="rId14"/>
    <hyperlink ref="V12" r:id="rId15"/>
    <hyperlink ref="Q13" r:id="rId16"/>
    <hyperlink ref="V13" r:id="rId17"/>
    <hyperlink ref="Q14" r:id="rId18"/>
    <hyperlink ref="V14" r:id="rId19"/>
    <hyperlink ref="Q15" r:id="rId20"/>
    <hyperlink ref="V15" r:id="rId21"/>
    <hyperlink ref="Q16" r:id="rId22"/>
    <hyperlink ref="V16" r:id="rId23"/>
    <hyperlink ref="Q17" r:id="rId24"/>
    <hyperlink ref="Q18" r:id="rId25"/>
    <hyperlink ref="V18" r:id="rId26"/>
    <hyperlink ref="Q19" r:id="rId27"/>
    <hyperlink ref="Q20" r:id="rId28"/>
    <hyperlink ref="V20" r:id="rId29"/>
    <hyperlink ref="Q21" r:id="rId30"/>
    <hyperlink ref="Q22" r:id="rId31"/>
    <hyperlink ref="V22" r:id="rId32"/>
    <hyperlink ref="Q23" r:id="rId33"/>
    <hyperlink ref="V23" r:id="rId34"/>
    <hyperlink ref="Q24" r:id="rId35"/>
    <hyperlink ref="V24" r:id="rId36"/>
    <hyperlink ref="Q25" r:id="rId37"/>
    <hyperlink ref="Q26" r:id="rId38"/>
    <hyperlink ref="Q27" r:id="rId39"/>
    <hyperlink ref="V27" r:id="rId40"/>
    <hyperlink ref="Q28" r:id="rId41"/>
    <hyperlink ref="V28" r:id="rId42"/>
    <hyperlink ref="Q30" r:id="rId43"/>
    <hyperlink ref="Q31" r:id="rId44"/>
    <hyperlink ref="V32" r:id="rId45"/>
    <hyperlink ref="Q32" r:id="rId46"/>
  </hyperlinks>
  <pageMargins left="0.7" right="0.7" top="0.75" bottom="0.75" header="0.3" footer="0.3"/>
  <pageSetup orientation="portrait" r:id="rId47"/>
  <drawing r:id="rId48"/>
  <extLst>
    <ext xmlns:x14="http://schemas.microsoft.com/office/spreadsheetml/2009/9/main" uri="{78C0D931-6437-407d-A8EE-F0AAD7539E65}">
      <x14:conditionalFormattings>
        <x14:conditionalFormatting xmlns:xm="http://schemas.microsoft.com/office/excel/2006/main">
          <x14:cfRule type="containsText" priority="1" operator="containsText" id="{1B2B561E-2246-4D0E-89CC-449CCD42A323}">
            <xm:f>NOT(ISERROR(SEARCH("LOGRADO",BW4)))</xm:f>
            <xm:f>"LOGRADO"</xm:f>
            <x14:dxf>
              <fill>
                <patternFill>
                  <bgColor rgb="FFC7F268"/>
                </patternFill>
              </fill>
            </x14:dxf>
          </x14:cfRule>
          <x14:cfRule type="containsText" priority="2" operator="containsText" id="{ADE1754F-43DC-498E-8367-1E4688EDF414}">
            <xm:f>NOT(ISERROR(SEARCH("PROCESO",BW4)))</xm:f>
            <xm:f>"PROCESO"</xm:f>
            <x14:dxf>
              <fill>
                <patternFill>
                  <bgColor rgb="FFFFC285"/>
                </patternFill>
              </fill>
            </x14:dxf>
          </x14:cfRule>
          <x14:cfRule type="containsText" priority="3" operator="containsText" id="{0D6210D3-BB1B-4E17-B17B-7C32944D7713}">
            <xm:f>NOT(ISERROR(SEARCH("INICIO",BW4)))</xm:f>
            <xm:f>"INICIO"</xm:f>
            <x14:dxf>
              <fill>
                <patternFill>
                  <bgColor rgb="FFFF6699"/>
                </patternFill>
              </fill>
            </x14:dxf>
          </x14:cfRule>
          <xm:sqref>BW4:BW32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Hoja1!$B$2:$B$3</xm:f>
          </x14:formula1>
          <xm:sqref>W4:AC32</xm:sqref>
        </x14:dataValidation>
        <x14:dataValidation type="list" allowBlank="1" showInputMessage="1" showErrorMessage="1">
          <x14:formula1>
            <xm:f>Hoja1!$B$6:$B$8</xm:f>
          </x14:formula1>
          <xm:sqref>BL4:BR32 BC4:BJ32 AE4:AN32 AP4:BA32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DD3EC"/>
  </sheetPr>
  <dimension ref="A1:X32"/>
  <sheetViews>
    <sheetView zoomScale="90" zoomScaleNormal="90" workbookViewId="0">
      <pane ySplit="3" topLeftCell="A13" activePane="bottomLeft" state="frozen"/>
      <selection pane="bottomLeft" activeCell="Z24" sqref="Z24"/>
    </sheetView>
  </sheetViews>
  <sheetFormatPr baseColWidth="10" defaultColWidth="11.42578125" defaultRowHeight="15" x14ac:dyDescent="0.25"/>
  <cols>
    <col min="1" max="1" width="4.85546875" customWidth="1"/>
    <col min="2" max="2" width="53" customWidth="1"/>
    <col min="3" max="24" width="13.28515625" customWidth="1"/>
  </cols>
  <sheetData>
    <row r="1" spans="1:24" ht="18" x14ac:dyDescent="0.25">
      <c r="C1" s="152" t="s">
        <v>52</v>
      </c>
      <c r="D1" s="152"/>
      <c r="E1" s="152"/>
      <c r="F1" s="153" t="s">
        <v>53</v>
      </c>
      <c r="G1" s="153"/>
      <c r="H1" s="153"/>
      <c r="I1" s="153"/>
      <c r="J1" s="153"/>
      <c r="K1" s="154" t="s">
        <v>54</v>
      </c>
      <c r="L1" s="154"/>
      <c r="M1" s="154"/>
      <c r="N1" s="155" t="s">
        <v>55</v>
      </c>
      <c r="O1" s="155"/>
      <c r="P1" s="155"/>
      <c r="Q1" s="155"/>
      <c r="R1" s="155"/>
      <c r="S1" s="155"/>
      <c r="T1" s="155"/>
      <c r="U1" s="155"/>
      <c r="V1" s="155"/>
      <c r="W1" s="155"/>
      <c r="X1" s="155"/>
    </row>
    <row r="2" spans="1:24" ht="15" customHeight="1" x14ac:dyDescent="0.25">
      <c r="C2" s="3" t="s">
        <v>7</v>
      </c>
      <c r="D2" s="3" t="s">
        <v>8</v>
      </c>
      <c r="E2" s="3" t="s">
        <v>9</v>
      </c>
      <c r="F2" s="4" t="s">
        <v>7</v>
      </c>
      <c r="G2" s="4" t="s">
        <v>8</v>
      </c>
      <c r="H2" s="4" t="s">
        <v>9</v>
      </c>
      <c r="I2" s="4" t="s">
        <v>10</v>
      </c>
      <c r="J2" s="4" t="s">
        <v>11</v>
      </c>
      <c r="K2" s="5" t="s">
        <v>7</v>
      </c>
      <c r="L2" s="5" t="s">
        <v>8</v>
      </c>
      <c r="M2" s="5" t="s">
        <v>9</v>
      </c>
      <c r="N2" s="6" t="s">
        <v>7</v>
      </c>
      <c r="O2" s="6" t="s">
        <v>8</v>
      </c>
      <c r="P2" s="6" t="s">
        <v>9</v>
      </c>
      <c r="Q2" s="6" t="s">
        <v>10</v>
      </c>
      <c r="R2" s="6" t="s">
        <v>11</v>
      </c>
      <c r="S2" s="6" t="s">
        <v>12</v>
      </c>
      <c r="T2" s="6" t="s">
        <v>13</v>
      </c>
      <c r="U2" s="6" t="s">
        <v>14</v>
      </c>
      <c r="V2" s="6" t="s">
        <v>15</v>
      </c>
      <c r="W2" s="6" t="s">
        <v>16</v>
      </c>
      <c r="X2" s="6" t="s">
        <v>17</v>
      </c>
    </row>
    <row r="3" spans="1:24" ht="134.25" customHeight="1" x14ac:dyDescent="0.25">
      <c r="A3" s="16" t="s">
        <v>56</v>
      </c>
      <c r="B3" s="15" t="s">
        <v>19</v>
      </c>
      <c r="C3" s="7" t="s">
        <v>57</v>
      </c>
      <c r="D3" s="7" t="s">
        <v>58</v>
      </c>
      <c r="E3" s="7" t="s">
        <v>59</v>
      </c>
      <c r="F3" s="8" t="s">
        <v>60</v>
      </c>
      <c r="G3" s="8" t="s">
        <v>61</v>
      </c>
      <c r="H3" s="8" t="s">
        <v>62</v>
      </c>
      <c r="I3" s="8" t="s">
        <v>63</v>
      </c>
      <c r="J3" s="8" t="s">
        <v>64</v>
      </c>
      <c r="K3" s="9" t="s">
        <v>65</v>
      </c>
      <c r="L3" s="9" t="s">
        <v>66</v>
      </c>
      <c r="M3" s="9" t="s">
        <v>67</v>
      </c>
      <c r="N3" s="7" t="s">
        <v>68</v>
      </c>
      <c r="O3" s="7" t="s">
        <v>69</v>
      </c>
      <c r="P3" s="7" t="s">
        <v>70</v>
      </c>
      <c r="Q3" s="7" t="s">
        <v>71</v>
      </c>
      <c r="R3" s="7" t="s">
        <v>72</v>
      </c>
      <c r="S3" s="7" t="s">
        <v>73</v>
      </c>
      <c r="T3" s="7" t="s">
        <v>74</v>
      </c>
      <c r="U3" s="7" t="s">
        <v>75</v>
      </c>
      <c r="V3" s="7" t="s">
        <v>76</v>
      </c>
      <c r="W3" s="7" t="s">
        <v>77</v>
      </c>
      <c r="X3" s="7" t="s">
        <v>78</v>
      </c>
    </row>
    <row r="4" spans="1:24" ht="29.25" customHeight="1" x14ac:dyDescent="0.25">
      <c r="A4" s="10">
        <v>1</v>
      </c>
      <c r="B4" s="19" t="str">
        <f>+'MODELO JEC'!B4</f>
        <v xml:space="preserve">1105 LA SAGRADA FAMILIA </v>
      </c>
      <c r="C4" s="2" t="s">
        <v>37</v>
      </c>
      <c r="D4" s="2" t="s">
        <v>37</v>
      </c>
      <c r="E4" s="2" t="s">
        <v>37</v>
      </c>
      <c r="F4" s="2" t="s">
        <v>36</v>
      </c>
      <c r="G4" s="2" t="s">
        <v>37</v>
      </c>
      <c r="H4" s="2" t="s">
        <v>37</v>
      </c>
      <c r="I4" s="2" t="s">
        <v>37</v>
      </c>
      <c r="J4" s="2" t="s">
        <v>36</v>
      </c>
      <c r="K4" s="2" t="s">
        <v>36</v>
      </c>
      <c r="L4" s="2" t="s">
        <v>37</v>
      </c>
      <c r="M4" s="2" t="s">
        <v>37</v>
      </c>
      <c r="N4" s="2" t="s">
        <v>36</v>
      </c>
      <c r="O4" s="2" t="s">
        <v>36</v>
      </c>
      <c r="P4" s="2" t="s">
        <v>36</v>
      </c>
      <c r="Q4" s="2" t="s">
        <v>36</v>
      </c>
      <c r="R4" s="2" t="s">
        <v>37</v>
      </c>
      <c r="S4" s="2" t="s">
        <v>79</v>
      </c>
      <c r="T4" s="2" t="s">
        <v>37</v>
      </c>
      <c r="U4" s="2" t="s">
        <v>37</v>
      </c>
      <c r="V4" s="2" t="s">
        <v>37</v>
      </c>
      <c r="W4" s="2" t="s">
        <v>36</v>
      </c>
      <c r="X4" s="2" t="s">
        <v>37</v>
      </c>
    </row>
    <row r="5" spans="1:24" ht="29.25" customHeight="1" x14ac:dyDescent="0.25">
      <c r="A5" s="10">
        <v>2</v>
      </c>
      <c r="B5" s="19" t="str">
        <f>+'MODELO JEC'!B5</f>
        <v>JOSE SANTOS CHOCANO</v>
      </c>
      <c r="C5" s="2" t="s">
        <v>36</v>
      </c>
      <c r="D5" s="2" t="s">
        <v>37</v>
      </c>
      <c r="E5" s="2" t="s">
        <v>37</v>
      </c>
      <c r="F5" s="2" t="s">
        <v>36</v>
      </c>
      <c r="G5" s="2" t="s">
        <v>37</v>
      </c>
      <c r="H5" s="2" t="s">
        <v>37</v>
      </c>
      <c r="I5" s="2" t="s">
        <v>37</v>
      </c>
      <c r="J5" s="2" t="s">
        <v>37</v>
      </c>
      <c r="K5" s="2" t="s">
        <v>36</v>
      </c>
      <c r="L5" s="2" t="s">
        <v>36</v>
      </c>
      <c r="M5" s="2" t="s">
        <v>37</v>
      </c>
      <c r="N5" s="2" t="s">
        <v>36</v>
      </c>
      <c r="O5" s="2" t="s">
        <v>36</v>
      </c>
      <c r="P5" s="2" t="s">
        <v>36</v>
      </c>
      <c r="Q5" s="2" t="s">
        <v>36</v>
      </c>
      <c r="R5" s="2" t="s">
        <v>36</v>
      </c>
      <c r="S5" s="2" t="s">
        <v>79</v>
      </c>
      <c r="T5" s="2" t="s">
        <v>37</v>
      </c>
      <c r="U5" s="2" t="s">
        <v>37</v>
      </c>
      <c r="V5" s="2" t="s">
        <v>37</v>
      </c>
      <c r="W5" s="2" t="s">
        <v>36</v>
      </c>
      <c r="X5" s="2" t="s">
        <v>37</v>
      </c>
    </row>
    <row r="6" spans="1:24" ht="29.25" customHeight="1" x14ac:dyDescent="0.25">
      <c r="A6" s="10">
        <v>3</v>
      </c>
      <c r="B6" s="19" t="str">
        <f>+'MODELO JEC'!B6</f>
        <v>ANGELICA PALMA ROMAN</v>
      </c>
      <c r="C6" s="2" t="s">
        <v>36</v>
      </c>
      <c r="D6" s="2" t="s">
        <v>36</v>
      </c>
      <c r="E6" s="2" t="s">
        <v>36</v>
      </c>
      <c r="F6" s="2" t="s">
        <v>36</v>
      </c>
      <c r="G6" s="2" t="s">
        <v>37</v>
      </c>
      <c r="H6" s="2" t="s">
        <v>37</v>
      </c>
      <c r="I6" s="2" t="s">
        <v>36</v>
      </c>
      <c r="J6" s="2" t="s">
        <v>36</v>
      </c>
      <c r="K6" s="2" t="s">
        <v>36</v>
      </c>
      <c r="L6" s="2" t="s">
        <v>37</v>
      </c>
      <c r="M6" s="2" t="s">
        <v>37</v>
      </c>
      <c r="N6" s="2" t="s">
        <v>36</v>
      </c>
      <c r="O6" s="2" t="s">
        <v>37</v>
      </c>
      <c r="P6" s="2" t="s">
        <v>36</v>
      </c>
      <c r="Q6" s="2" t="s">
        <v>36</v>
      </c>
      <c r="R6" s="2" t="s">
        <v>36</v>
      </c>
      <c r="S6" s="2" t="s">
        <v>79</v>
      </c>
      <c r="T6" s="2" t="s">
        <v>37</v>
      </c>
      <c r="U6" s="2" t="s">
        <v>37</v>
      </c>
      <c r="V6" s="2" t="s">
        <v>37</v>
      </c>
      <c r="W6" s="2" t="s">
        <v>36</v>
      </c>
      <c r="X6" s="2" t="s">
        <v>36</v>
      </c>
    </row>
    <row r="7" spans="1:24" ht="29.25" customHeight="1" x14ac:dyDescent="0.25">
      <c r="A7" s="10">
        <v>4</v>
      </c>
      <c r="B7" s="19" t="str">
        <f>+'MODELO JEC'!B7</f>
        <v>24 ROSA IRENE INFANTE CANALES</v>
      </c>
      <c r="C7" s="2" t="s">
        <v>37</v>
      </c>
      <c r="D7" s="2" t="s">
        <v>37</v>
      </c>
      <c r="E7" s="2" t="s">
        <v>37</v>
      </c>
      <c r="F7" s="2" t="s">
        <v>36</v>
      </c>
      <c r="G7" s="2" t="s">
        <v>37</v>
      </c>
      <c r="H7" s="2" t="s">
        <v>37</v>
      </c>
      <c r="I7" s="2" t="s">
        <v>37</v>
      </c>
      <c r="J7" s="2" t="s">
        <v>37</v>
      </c>
      <c r="K7" s="2" t="s">
        <v>36</v>
      </c>
      <c r="L7" s="2" t="s">
        <v>36</v>
      </c>
      <c r="M7" s="2" t="s">
        <v>36</v>
      </c>
      <c r="N7" s="2" t="s">
        <v>36</v>
      </c>
      <c r="O7" s="2" t="s">
        <v>36</v>
      </c>
      <c r="P7" s="2" t="s">
        <v>36</v>
      </c>
      <c r="Q7" s="2" t="s">
        <v>36</v>
      </c>
      <c r="R7" s="2" t="s">
        <v>37</v>
      </c>
      <c r="S7" s="2" t="s">
        <v>79</v>
      </c>
      <c r="T7" s="2" t="s">
        <v>37</v>
      </c>
      <c r="U7" s="2" t="s">
        <v>37</v>
      </c>
      <c r="V7" s="2" t="s">
        <v>36</v>
      </c>
      <c r="W7" s="2" t="s">
        <v>36</v>
      </c>
      <c r="X7" s="2" t="s">
        <v>36</v>
      </c>
    </row>
    <row r="8" spans="1:24" ht="29.25" customHeight="1" x14ac:dyDescent="0.25">
      <c r="A8" s="10">
        <v>5</v>
      </c>
      <c r="B8" s="19" t="str">
        <f>+'MODELO JEC'!B8</f>
        <v>JUAN PABLO VIZCARDO Y GUZMAN</v>
      </c>
      <c r="C8" s="2" t="s">
        <v>37</v>
      </c>
      <c r="D8" s="2" t="s">
        <v>37</v>
      </c>
      <c r="E8" s="2" t="s">
        <v>37</v>
      </c>
      <c r="F8" s="2" t="s">
        <v>36</v>
      </c>
      <c r="G8" s="2" t="s">
        <v>37</v>
      </c>
      <c r="H8" s="2" t="s">
        <v>36</v>
      </c>
      <c r="I8" s="2" t="s">
        <v>37</v>
      </c>
      <c r="J8" s="2" t="s">
        <v>36</v>
      </c>
      <c r="K8" s="2" t="s">
        <v>36</v>
      </c>
      <c r="L8" s="2" t="s">
        <v>36</v>
      </c>
      <c r="M8" s="2" t="s">
        <v>37</v>
      </c>
      <c r="N8" s="2" t="s">
        <v>36</v>
      </c>
      <c r="O8" s="2" t="s">
        <v>36</v>
      </c>
      <c r="P8" s="2" t="s">
        <v>36</v>
      </c>
      <c r="Q8" s="2" t="s">
        <v>36</v>
      </c>
      <c r="R8" s="2" t="s">
        <v>36</v>
      </c>
      <c r="S8" s="2" t="s">
        <v>79</v>
      </c>
      <c r="T8" s="2" t="s">
        <v>36</v>
      </c>
      <c r="U8" s="2" t="s">
        <v>37</v>
      </c>
      <c r="V8" s="2" t="s">
        <v>37</v>
      </c>
      <c r="W8" s="2" t="s">
        <v>37</v>
      </c>
      <c r="X8" s="2" t="s">
        <v>37</v>
      </c>
    </row>
    <row r="9" spans="1:24" ht="29.25" customHeight="1" x14ac:dyDescent="0.25">
      <c r="A9" s="10">
        <v>6</v>
      </c>
      <c r="B9" s="19" t="str">
        <f>+'MODELO JEC'!B9</f>
        <v>GRAL. FELIPE SANTIAGO SALAVERRY</v>
      </c>
      <c r="C9" s="2" t="s">
        <v>37</v>
      </c>
      <c r="D9" s="2" t="s">
        <v>37</v>
      </c>
      <c r="E9" s="2" t="s">
        <v>37</v>
      </c>
      <c r="F9" s="2" t="s">
        <v>36</v>
      </c>
      <c r="G9" s="2" t="s">
        <v>37</v>
      </c>
      <c r="H9" s="2" t="s">
        <v>37</v>
      </c>
      <c r="I9" s="2" t="s">
        <v>37</v>
      </c>
      <c r="J9" s="2" t="s">
        <v>36</v>
      </c>
      <c r="K9" s="2" t="s">
        <v>36</v>
      </c>
      <c r="L9" s="2" t="s">
        <v>37</v>
      </c>
      <c r="M9" s="2" t="s">
        <v>37</v>
      </c>
      <c r="N9" s="2" t="s">
        <v>36</v>
      </c>
      <c r="O9" s="2" t="s">
        <v>36</v>
      </c>
      <c r="P9" s="2" t="s">
        <v>36</v>
      </c>
      <c r="Q9" s="2" t="s">
        <v>37</v>
      </c>
      <c r="R9" s="2" t="s">
        <v>36</v>
      </c>
      <c r="S9" s="2" t="s">
        <v>79</v>
      </c>
      <c r="T9" s="2" t="s">
        <v>37</v>
      </c>
      <c r="U9" s="2" t="s">
        <v>37</v>
      </c>
      <c r="V9" s="2" t="s">
        <v>37</v>
      </c>
      <c r="W9" s="2" t="s">
        <v>37</v>
      </c>
      <c r="X9" s="2" t="s">
        <v>37</v>
      </c>
    </row>
    <row r="10" spans="1:24" ht="29.25" customHeight="1" x14ac:dyDescent="0.25">
      <c r="A10" s="10">
        <v>7</v>
      </c>
      <c r="B10" s="19" t="str">
        <f>+'MODELO JEC'!B10</f>
        <v>BARTOLOMÉ HERRERA</v>
      </c>
      <c r="C10" s="2" t="s">
        <v>37</v>
      </c>
      <c r="D10" s="2" t="s">
        <v>37</v>
      </c>
      <c r="E10" s="2" t="s">
        <v>36</v>
      </c>
      <c r="F10" s="2" t="s">
        <v>36</v>
      </c>
      <c r="G10" s="2" t="s">
        <v>37</v>
      </c>
      <c r="H10" s="2" t="s">
        <v>37</v>
      </c>
      <c r="I10" s="2" t="s">
        <v>37</v>
      </c>
      <c r="J10" s="2" t="s">
        <v>37</v>
      </c>
      <c r="K10" s="2" t="s">
        <v>36</v>
      </c>
      <c r="L10" s="2" t="s">
        <v>36</v>
      </c>
      <c r="M10" s="2" t="s">
        <v>37</v>
      </c>
      <c r="N10" s="2" t="s">
        <v>36</v>
      </c>
      <c r="O10" s="2" t="s">
        <v>36</v>
      </c>
      <c r="P10" s="2" t="s">
        <v>36</v>
      </c>
      <c r="Q10" s="2" t="s">
        <v>36</v>
      </c>
      <c r="R10" s="2" t="s">
        <v>36</v>
      </c>
      <c r="S10" s="2" t="s">
        <v>37</v>
      </c>
      <c r="T10" s="2" t="s">
        <v>37</v>
      </c>
      <c r="U10" s="2" t="s">
        <v>36</v>
      </c>
      <c r="V10" s="2" t="s">
        <v>36</v>
      </c>
      <c r="W10" s="2" t="s">
        <v>36</v>
      </c>
      <c r="X10" s="2" t="s">
        <v>36</v>
      </c>
    </row>
    <row r="11" spans="1:24" ht="29.25" customHeight="1" x14ac:dyDescent="0.25">
      <c r="A11" s="10">
        <v>8</v>
      </c>
      <c r="B11" s="19" t="str">
        <f>+'MODELO JEC'!B11</f>
        <v>ISABELA LA CATOLICA</v>
      </c>
      <c r="C11" s="2" t="s">
        <v>36</v>
      </c>
      <c r="D11" s="2" t="s">
        <v>37</v>
      </c>
      <c r="E11" s="2" t="s">
        <v>37</v>
      </c>
      <c r="F11" s="2" t="s">
        <v>36</v>
      </c>
      <c r="G11" s="2" t="s">
        <v>37</v>
      </c>
      <c r="H11" s="2" t="s">
        <v>36</v>
      </c>
      <c r="I11" s="2" t="s">
        <v>37</v>
      </c>
      <c r="J11" s="2" t="s">
        <v>36</v>
      </c>
      <c r="K11" s="2" t="s">
        <v>36</v>
      </c>
      <c r="L11" s="2" t="s">
        <v>37</v>
      </c>
      <c r="M11" s="2" t="s">
        <v>37</v>
      </c>
      <c r="N11" s="2" t="s">
        <v>36</v>
      </c>
      <c r="O11" s="2" t="s">
        <v>37</v>
      </c>
      <c r="P11" s="2" t="s">
        <v>36</v>
      </c>
      <c r="Q11" s="2" t="s">
        <v>37</v>
      </c>
      <c r="R11" s="2" t="s">
        <v>36</v>
      </c>
      <c r="S11" s="2" t="s">
        <v>36</v>
      </c>
      <c r="T11" s="2" t="s">
        <v>37</v>
      </c>
      <c r="U11" s="2" t="s">
        <v>80</v>
      </c>
      <c r="V11" s="2" t="s">
        <v>37</v>
      </c>
      <c r="W11" s="2" t="s">
        <v>36</v>
      </c>
      <c r="X11" s="2" t="s">
        <v>37</v>
      </c>
    </row>
    <row r="12" spans="1:24" ht="29.25" customHeight="1" x14ac:dyDescent="0.25">
      <c r="A12" s="10">
        <v>9</v>
      </c>
      <c r="B12" s="19" t="str">
        <f>+'MODELO JEC'!B12</f>
        <v>REPUBLICA DE CHILE</v>
      </c>
      <c r="C12" s="2" t="s">
        <v>36</v>
      </c>
      <c r="D12" s="2" t="s">
        <v>36</v>
      </c>
      <c r="E12" s="2" t="s">
        <v>36</v>
      </c>
      <c r="F12" s="2" t="s">
        <v>36</v>
      </c>
      <c r="G12" s="2" t="s">
        <v>37</v>
      </c>
      <c r="H12" s="2" t="s">
        <v>37</v>
      </c>
      <c r="I12" s="2" t="s">
        <v>36</v>
      </c>
      <c r="J12" s="2" t="s">
        <v>36</v>
      </c>
      <c r="K12" s="2" t="s">
        <v>36</v>
      </c>
      <c r="L12" s="2" t="s">
        <v>37</v>
      </c>
      <c r="M12" s="2" t="s">
        <v>37</v>
      </c>
      <c r="N12" s="2" t="s">
        <v>36</v>
      </c>
      <c r="O12" s="2" t="s">
        <v>37</v>
      </c>
      <c r="P12" s="2" t="s">
        <v>36</v>
      </c>
      <c r="Q12" s="2" t="s">
        <v>36</v>
      </c>
      <c r="R12" s="2" t="s">
        <v>36</v>
      </c>
      <c r="S12" s="2" t="s">
        <v>79</v>
      </c>
      <c r="T12" s="2" t="s">
        <v>37</v>
      </c>
      <c r="U12" s="2" t="s">
        <v>37</v>
      </c>
      <c r="V12" s="2" t="s">
        <v>36</v>
      </c>
      <c r="W12" s="2" t="s">
        <v>36</v>
      </c>
      <c r="X12" s="2" t="s">
        <v>36</v>
      </c>
    </row>
    <row r="13" spans="1:24" ht="29.25" customHeight="1" x14ac:dyDescent="0.25">
      <c r="A13" s="10">
        <v>10</v>
      </c>
      <c r="B13" s="19" t="str">
        <f>+'MODELO JEC'!B13</f>
        <v>1157 JULIO CESAR TELLO</v>
      </c>
      <c r="C13" s="2" t="s">
        <v>37</v>
      </c>
      <c r="D13" s="2" t="s">
        <v>37</v>
      </c>
      <c r="E13" s="2" t="s">
        <v>37</v>
      </c>
      <c r="F13" s="2" t="s">
        <v>37</v>
      </c>
      <c r="G13" s="2" t="s">
        <v>37</v>
      </c>
      <c r="H13" s="2" t="s">
        <v>37</v>
      </c>
      <c r="I13" s="2" t="s">
        <v>37</v>
      </c>
      <c r="J13" s="2" t="s">
        <v>36</v>
      </c>
      <c r="K13" s="2" t="s">
        <v>36</v>
      </c>
      <c r="L13" s="2" t="s">
        <v>37</v>
      </c>
      <c r="M13" s="2" t="s">
        <v>37</v>
      </c>
      <c r="N13" s="2" t="s">
        <v>36</v>
      </c>
      <c r="O13" s="2" t="s">
        <v>37</v>
      </c>
      <c r="P13" s="2" t="s">
        <v>36</v>
      </c>
      <c r="Q13" s="2" t="s">
        <v>36</v>
      </c>
      <c r="R13" s="2" t="s">
        <v>36</v>
      </c>
      <c r="S13" s="2" t="s">
        <v>79</v>
      </c>
      <c r="T13" s="2" t="s">
        <v>37</v>
      </c>
      <c r="U13" s="2" t="s">
        <v>37</v>
      </c>
      <c r="V13" s="2" t="s">
        <v>36</v>
      </c>
      <c r="W13" s="2" t="s">
        <v>36</v>
      </c>
      <c r="X13" s="2" t="s">
        <v>37</v>
      </c>
    </row>
    <row r="14" spans="1:24" ht="29.25" customHeight="1" x14ac:dyDescent="0.25">
      <c r="A14" s="10">
        <v>11</v>
      </c>
      <c r="B14" s="19" t="str">
        <f>+'MODELO JEC'!B14</f>
        <v>105 PEDRO CORONADO ARRASCUE</v>
      </c>
      <c r="C14" s="2" t="s">
        <v>36</v>
      </c>
      <c r="D14" s="2" t="s">
        <v>36</v>
      </c>
      <c r="E14" s="2" t="s">
        <v>36</v>
      </c>
      <c r="F14" s="2" t="s">
        <v>36</v>
      </c>
      <c r="G14" s="2" t="s">
        <v>37</v>
      </c>
      <c r="H14" s="2" t="s">
        <v>37</v>
      </c>
      <c r="I14" s="2" t="s">
        <v>36</v>
      </c>
      <c r="J14" s="2" t="s">
        <v>37</v>
      </c>
      <c r="K14" s="2" t="s">
        <v>36</v>
      </c>
      <c r="L14" s="2" t="s">
        <v>36</v>
      </c>
      <c r="M14" s="2" t="s">
        <v>36</v>
      </c>
      <c r="N14" s="2" t="s">
        <v>36</v>
      </c>
      <c r="O14" s="2" t="s">
        <v>36</v>
      </c>
      <c r="P14" s="2" t="s">
        <v>36</v>
      </c>
      <c r="Q14" s="2" t="s">
        <v>36</v>
      </c>
      <c r="R14" s="2" t="s">
        <v>37</v>
      </c>
      <c r="S14" s="2" t="s">
        <v>37</v>
      </c>
      <c r="T14" s="2" t="s">
        <v>37</v>
      </c>
      <c r="U14" s="2" t="s">
        <v>37</v>
      </c>
      <c r="V14" s="2" t="s">
        <v>37</v>
      </c>
      <c r="W14" s="2" t="s">
        <v>36</v>
      </c>
      <c r="X14" s="2" t="s">
        <v>36</v>
      </c>
    </row>
    <row r="15" spans="1:24" ht="29.25" customHeight="1" x14ac:dyDescent="0.25">
      <c r="A15" s="10">
        <v>12</v>
      </c>
      <c r="B15" s="19" t="str">
        <f>+'MODELO JEC'!B15</f>
        <v>TUPAC AMARU</v>
      </c>
      <c r="C15" s="2" t="s">
        <v>37</v>
      </c>
      <c r="D15" s="2" t="s">
        <v>37</v>
      </c>
      <c r="E15" s="2" t="s">
        <v>37</v>
      </c>
      <c r="F15" s="2" t="s">
        <v>37</v>
      </c>
      <c r="G15" s="2" t="s">
        <v>37</v>
      </c>
      <c r="H15" s="2" t="s">
        <v>37</v>
      </c>
      <c r="I15" s="2" t="s">
        <v>37</v>
      </c>
      <c r="J15" s="2" t="s">
        <v>36</v>
      </c>
      <c r="K15" s="2" t="s">
        <v>36</v>
      </c>
      <c r="L15" s="2" t="s">
        <v>37</v>
      </c>
      <c r="M15" s="2" t="s">
        <v>37</v>
      </c>
      <c r="N15" s="2" t="s">
        <v>36</v>
      </c>
      <c r="O15" s="2" t="s">
        <v>36</v>
      </c>
      <c r="P15" s="2" t="s">
        <v>36</v>
      </c>
      <c r="Q15" s="2" t="s">
        <v>36</v>
      </c>
      <c r="R15" s="2" t="s">
        <v>36</v>
      </c>
      <c r="S15" s="2" t="s">
        <v>37</v>
      </c>
      <c r="T15" s="2" t="s">
        <v>37</v>
      </c>
      <c r="U15" s="2" t="s">
        <v>37</v>
      </c>
      <c r="V15" s="2" t="s">
        <v>37</v>
      </c>
      <c r="W15" s="2" t="s">
        <v>36</v>
      </c>
      <c r="X15" s="2" t="s">
        <v>36</v>
      </c>
    </row>
    <row r="16" spans="1:24" ht="29.25" customHeight="1" x14ac:dyDescent="0.25">
      <c r="A16" s="10">
        <v>13</v>
      </c>
      <c r="B16" s="19" t="str">
        <f>+'MODELO JEC'!B16</f>
        <v>ROSA DOMINGA PEREZ LLENDO</v>
      </c>
      <c r="C16" s="2" t="s">
        <v>37</v>
      </c>
      <c r="D16" s="2" t="s">
        <v>37</v>
      </c>
      <c r="E16" s="2" t="s">
        <v>37</v>
      </c>
      <c r="F16" s="2" t="s">
        <v>36</v>
      </c>
      <c r="G16" s="2" t="s">
        <v>37</v>
      </c>
      <c r="H16" s="2" t="s">
        <v>36</v>
      </c>
      <c r="I16" s="2" t="s">
        <v>37</v>
      </c>
      <c r="J16" s="2" t="s">
        <v>36</v>
      </c>
      <c r="K16" s="2" t="s">
        <v>36</v>
      </c>
      <c r="L16" s="2" t="s">
        <v>36</v>
      </c>
      <c r="M16" s="2" t="s">
        <v>37</v>
      </c>
      <c r="N16" s="2" t="s">
        <v>36</v>
      </c>
      <c r="O16" s="2" t="s">
        <v>37</v>
      </c>
      <c r="P16" s="2" t="s">
        <v>36</v>
      </c>
      <c r="Q16" s="2" t="s">
        <v>36</v>
      </c>
      <c r="R16" s="2" t="s">
        <v>36</v>
      </c>
      <c r="S16" s="2" t="s">
        <v>79</v>
      </c>
      <c r="T16" s="2" t="s">
        <v>37</v>
      </c>
      <c r="U16" s="2" t="s">
        <v>37</v>
      </c>
      <c r="V16" s="2" t="s">
        <v>36</v>
      </c>
      <c r="W16" s="2" t="s">
        <v>36</v>
      </c>
      <c r="X16" s="2" t="s">
        <v>36</v>
      </c>
    </row>
    <row r="17" spans="1:24" ht="29.25" customHeight="1" x14ac:dyDescent="0.25">
      <c r="A17" s="10">
        <v>14</v>
      </c>
      <c r="B17" s="19" t="str">
        <f>+'MODELO JEC'!B17</f>
        <v>0099 OSCAR MIRO QUESADA DE LA GUERRA</v>
      </c>
      <c r="C17" s="2" t="s">
        <v>37</v>
      </c>
      <c r="D17" s="2" t="s">
        <v>37</v>
      </c>
      <c r="E17" s="2" t="s">
        <v>37</v>
      </c>
      <c r="F17" s="2" t="s">
        <v>36</v>
      </c>
      <c r="G17" s="2" t="s">
        <v>37</v>
      </c>
      <c r="H17" s="2" t="s">
        <v>37</v>
      </c>
      <c r="I17" s="2" t="s">
        <v>37</v>
      </c>
      <c r="J17" s="2" t="s">
        <v>37</v>
      </c>
      <c r="K17" s="2" t="s">
        <v>36</v>
      </c>
      <c r="L17" s="2" t="s">
        <v>36</v>
      </c>
      <c r="M17" s="2" t="s">
        <v>36</v>
      </c>
      <c r="N17" s="2" t="s">
        <v>36</v>
      </c>
      <c r="O17" s="2" t="s">
        <v>37</v>
      </c>
      <c r="P17" s="2" t="s">
        <v>36</v>
      </c>
      <c r="Q17" s="2" t="s">
        <v>36</v>
      </c>
      <c r="R17" s="2" t="s">
        <v>36</v>
      </c>
      <c r="S17" s="2" t="s">
        <v>37</v>
      </c>
      <c r="T17" s="2" t="s">
        <v>36</v>
      </c>
      <c r="U17" s="2" t="s">
        <v>37</v>
      </c>
      <c r="V17" s="2" t="s">
        <v>37</v>
      </c>
      <c r="W17" s="2" t="s">
        <v>36</v>
      </c>
      <c r="X17" s="2" t="s">
        <v>36</v>
      </c>
    </row>
    <row r="18" spans="1:24" ht="29.25" customHeight="1" x14ac:dyDescent="0.25">
      <c r="A18" s="10">
        <v>15</v>
      </c>
      <c r="B18" s="19" t="str">
        <f>+'MODELO JEC'!B18</f>
        <v>103 LUIS ARMANDO CABELLO HURTADO</v>
      </c>
      <c r="C18" s="2" t="s">
        <v>36</v>
      </c>
      <c r="D18" s="2" t="s">
        <v>36</v>
      </c>
      <c r="E18" s="2" t="s">
        <v>36</v>
      </c>
      <c r="F18" s="2" t="s">
        <v>36</v>
      </c>
      <c r="G18" s="2" t="s">
        <v>37</v>
      </c>
      <c r="H18" s="2" t="s">
        <v>37</v>
      </c>
      <c r="I18" s="2" t="s">
        <v>37</v>
      </c>
      <c r="J18" s="2" t="s">
        <v>36</v>
      </c>
      <c r="K18" s="2" t="s">
        <v>36</v>
      </c>
      <c r="L18" s="2" t="s">
        <v>36</v>
      </c>
      <c r="M18" s="2" t="s">
        <v>36</v>
      </c>
      <c r="N18" s="2" t="s">
        <v>37</v>
      </c>
      <c r="O18" s="2" t="s">
        <v>37</v>
      </c>
      <c r="P18" s="2" t="s">
        <v>36</v>
      </c>
      <c r="Q18" s="2" t="s">
        <v>36</v>
      </c>
      <c r="R18" s="2" t="s">
        <v>36</v>
      </c>
      <c r="S18" s="2" t="s">
        <v>79</v>
      </c>
      <c r="T18" s="2" t="s">
        <v>37</v>
      </c>
      <c r="U18" s="2" t="s">
        <v>37</v>
      </c>
      <c r="V18" s="2" t="s">
        <v>37</v>
      </c>
      <c r="W18" s="2" t="s">
        <v>36</v>
      </c>
      <c r="X18" s="2" t="s">
        <v>37</v>
      </c>
    </row>
    <row r="19" spans="1:24" ht="29.25" customHeight="1" x14ac:dyDescent="0.25">
      <c r="A19" s="10">
        <v>16</v>
      </c>
      <c r="B19" s="19" t="str">
        <f>+'MODELO JEC'!B19</f>
        <v>NUESTRA SEÑORA DE GUADALUPE</v>
      </c>
      <c r="C19" s="2" t="s">
        <v>36</v>
      </c>
      <c r="D19" s="2" t="s">
        <v>36</v>
      </c>
      <c r="E19" s="2" t="s">
        <v>81</v>
      </c>
      <c r="F19" s="2" t="s">
        <v>36</v>
      </c>
      <c r="G19" s="2" t="s">
        <v>37</v>
      </c>
      <c r="H19" s="2" t="s">
        <v>36</v>
      </c>
      <c r="I19" s="2" t="s">
        <v>36</v>
      </c>
      <c r="J19" s="2" t="s">
        <v>36</v>
      </c>
      <c r="K19" s="2" t="s">
        <v>36</v>
      </c>
      <c r="L19" s="2" t="s">
        <v>37</v>
      </c>
      <c r="M19" s="2" t="s">
        <v>37</v>
      </c>
      <c r="N19" s="2" t="s">
        <v>36</v>
      </c>
      <c r="O19" s="2" t="s">
        <v>36</v>
      </c>
      <c r="P19" s="2" t="s">
        <v>36</v>
      </c>
      <c r="Q19" s="2" t="s">
        <v>37</v>
      </c>
      <c r="R19" s="2" t="s">
        <v>36</v>
      </c>
      <c r="S19" s="2" t="s">
        <v>79</v>
      </c>
      <c r="T19" s="2" t="s">
        <v>37</v>
      </c>
      <c r="U19" s="2" t="s">
        <v>37</v>
      </c>
      <c r="V19" s="2" t="s">
        <v>37</v>
      </c>
      <c r="W19" s="2" t="s">
        <v>36</v>
      </c>
      <c r="X19" s="2" t="s">
        <v>36</v>
      </c>
    </row>
    <row r="20" spans="1:24" ht="29.25" customHeight="1" x14ac:dyDescent="0.25">
      <c r="A20" s="10">
        <v>17</v>
      </c>
      <c r="B20" s="19" t="str">
        <f>+'MODELO JEC'!B20</f>
        <v>PEDRO GALEZ EGUSQUIZA</v>
      </c>
      <c r="C20" s="2" t="s">
        <v>36</v>
      </c>
      <c r="D20" s="2" t="s">
        <v>36</v>
      </c>
      <c r="E20" s="2" t="s">
        <v>36</v>
      </c>
      <c r="F20" s="2" t="s">
        <v>36</v>
      </c>
      <c r="G20" s="2" t="s">
        <v>37</v>
      </c>
      <c r="H20" s="2" t="s">
        <v>36</v>
      </c>
      <c r="I20" s="2" t="s">
        <v>36</v>
      </c>
      <c r="J20" s="2" t="s">
        <v>36</v>
      </c>
      <c r="K20" s="2" t="s">
        <v>36</v>
      </c>
      <c r="L20" s="2" t="s">
        <v>36</v>
      </c>
      <c r="M20" s="2" t="s">
        <v>36</v>
      </c>
      <c r="N20" s="2" t="s">
        <v>36</v>
      </c>
      <c r="O20" s="2" t="s">
        <v>36</v>
      </c>
      <c r="P20" s="2" t="s">
        <v>36</v>
      </c>
      <c r="Q20" s="2" t="s">
        <v>37</v>
      </c>
      <c r="R20" s="2" t="s">
        <v>36</v>
      </c>
      <c r="S20" s="2" t="s">
        <v>37</v>
      </c>
      <c r="T20" s="2" t="s">
        <v>36</v>
      </c>
      <c r="U20" s="2" t="s">
        <v>37</v>
      </c>
      <c r="V20" s="2" t="s">
        <v>37</v>
      </c>
      <c r="W20" s="2" t="s">
        <v>36</v>
      </c>
      <c r="X20" s="2" t="s">
        <v>36</v>
      </c>
    </row>
    <row r="21" spans="1:24" ht="29.25" customHeight="1" x14ac:dyDescent="0.25">
      <c r="A21" s="10">
        <v>18</v>
      </c>
      <c r="B21" s="19" t="str">
        <f>+'MODELO JEC'!B21</f>
        <v>MICAELA BASTIDAS</v>
      </c>
      <c r="C21" s="2" t="s">
        <v>37</v>
      </c>
      <c r="D21" s="2" t="s">
        <v>37</v>
      </c>
      <c r="E21" s="2" t="s">
        <v>37</v>
      </c>
      <c r="F21" s="2" t="s">
        <v>36</v>
      </c>
      <c r="G21" s="2" t="s">
        <v>37</v>
      </c>
      <c r="H21" s="2" t="s">
        <v>37</v>
      </c>
      <c r="I21" s="2" t="s">
        <v>36</v>
      </c>
      <c r="J21" s="2" t="s">
        <v>36</v>
      </c>
      <c r="K21" s="2" t="s">
        <v>36</v>
      </c>
      <c r="L21" s="2" t="s">
        <v>36</v>
      </c>
      <c r="M21" s="2" t="s">
        <v>36</v>
      </c>
      <c r="N21" s="2" t="s">
        <v>36</v>
      </c>
      <c r="O21" s="2" t="s">
        <v>37</v>
      </c>
      <c r="P21" s="2" t="s">
        <v>36</v>
      </c>
      <c r="Q21" s="2" t="s">
        <v>36</v>
      </c>
      <c r="R21" s="2" t="s">
        <v>37</v>
      </c>
      <c r="S21" s="2" t="s">
        <v>37</v>
      </c>
      <c r="T21" s="2" t="s">
        <v>37</v>
      </c>
      <c r="U21" s="2" t="s">
        <v>37</v>
      </c>
      <c r="V21" s="2" t="s">
        <v>37</v>
      </c>
      <c r="W21" s="2" t="s">
        <v>36</v>
      </c>
      <c r="X21" s="2" t="s">
        <v>36</v>
      </c>
    </row>
    <row r="22" spans="1:24" ht="29.25" customHeight="1" x14ac:dyDescent="0.25">
      <c r="A22" s="10">
        <v>19</v>
      </c>
      <c r="B22" s="19" t="str">
        <f>+'MODELO JEC'!B22</f>
        <v>MARIANO MELGAR</v>
      </c>
      <c r="C22" s="2" t="s">
        <v>36</v>
      </c>
      <c r="D22" s="2" t="s">
        <v>36</v>
      </c>
      <c r="E22" s="2" t="s">
        <v>81</v>
      </c>
      <c r="F22" s="2" t="s">
        <v>36</v>
      </c>
      <c r="G22" s="2" t="s">
        <v>37</v>
      </c>
      <c r="H22" s="2" t="s">
        <v>37</v>
      </c>
      <c r="I22" s="2" t="s">
        <v>37</v>
      </c>
      <c r="J22" s="2" t="s">
        <v>36</v>
      </c>
      <c r="K22" s="2" t="s">
        <v>36</v>
      </c>
      <c r="L22" s="2" t="s">
        <v>36</v>
      </c>
      <c r="M22" s="2" t="s">
        <v>36</v>
      </c>
      <c r="N22" s="2" t="s">
        <v>36</v>
      </c>
      <c r="O22" s="2" t="s">
        <v>36</v>
      </c>
      <c r="P22" s="2" t="s">
        <v>36</v>
      </c>
      <c r="Q22" s="2" t="s">
        <v>36</v>
      </c>
      <c r="R22" s="2" t="s">
        <v>36</v>
      </c>
      <c r="S22" s="2" t="s">
        <v>79</v>
      </c>
      <c r="T22" s="2" t="s">
        <v>37</v>
      </c>
      <c r="U22" s="2" t="s">
        <v>37</v>
      </c>
      <c r="V22" s="2" t="s">
        <v>36</v>
      </c>
      <c r="W22" s="2" t="s">
        <v>37</v>
      </c>
      <c r="X22" s="2" t="s">
        <v>36</v>
      </c>
    </row>
    <row r="23" spans="1:24" ht="29.25" customHeight="1" x14ac:dyDescent="0.25">
      <c r="A23" s="10">
        <v>20</v>
      </c>
      <c r="B23" s="19" t="s">
        <v>44</v>
      </c>
      <c r="C23" s="2" t="s">
        <v>36</v>
      </c>
      <c r="D23" s="2" t="s">
        <v>36</v>
      </c>
      <c r="E23" s="2" t="s">
        <v>36</v>
      </c>
      <c r="F23" s="2" t="s">
        <v>36</v>
      </c>
      <c r="G23" s="2" t="s">
        <v>37</v>
      </c>
      <c r="H23" s="2" t="s">
        <v>36</v>
      </c>
      <c r="I23" s="2" t="s">
        <v>36</v>
      </c>
      <c r="J23" s="2" t="s">
        <v>36</v>
      </c>
      <c r="K23" s="2" t="s">
        <v>36</v>
      </c>
      <c r="L23" s="2" t="s">
        <v>37</v>
      </c>
      <c r="M23" s="2" t="s">
        <v>37</v>
      </c>
      <c r="N23" s="2" t="s">
        <v>36</v>
      </c>
      <c r="O23" s="2" t="s">
        <v>36</v>
      </c>
      <c r="P23" s="2" t="s">
        <v>36</v>
      </c>
      <c r="Q23" s="2" t="s">
        <v>36</v>
      </c>
      <c r="R23" s="2" t="s">
        <v>36</v>
      </c>
      <c r="S23" s="2" t="s">
        <v>79</v>
      </c>
      <c r="T23" s="2" t="s">
        <v>36</v>
      </c>
      <c r="U23" s="2" t="s">
        <v>37</v>
      </c>
      <c r="V23" s="2" t="s">
        <v>36</v>
      </c>
      <c r="W23" s="2" t="s">
        <v>37</v>
      </c>
      <c r="X23" s="2" t="s">
        <v>37</v>
      </c>
    </row>
    <row r="24" spans="1:24" ht="29.25" customHeight="1" x14ac:dyDescent="0.25">
      <c r="A24" s="10">
        <v>21</v>
      </c>
      <c r="B24" s="19" t="str">
        <f>+'MODELO JEC'!B24</f>
        <v>0003 NUESTRA SEÑORA DEL CARMEN</v>
      </c>
      <c r="C24" s="2" t="s">
        <v>37</v>
      </c>
      <c r="D24" s="2" t="s">
        <v>36</v>
      </c>
      <c r="E24" s="2" t="s">
        <v>81</v>
      </c>
      <c r="F24" s="2" t="s">
        <v>36</v>
      </c>
      <c r="G24" s="2" t="s">
        <v>37</v>
      </c>
      <c r="H24" s="2" t="s">
        <v>37</v>
      </c>
      <c r="I24" s="2" t="s">
        <v>36</v>
      </c>
      <c r="J24" s="2" t="s">
        <v>37</v>
      </c>
      <c r="K24" s="2" t="s">
        <v>36</v>
      </c>
      <c r="L24" s="2" t="s">
        <v>37</v>
      </c>
      <c r="M24" s="2" t="s">
        <v>37</v>
      </c>
      <c r="N24" s="2" t="s">
        <v>36</v>
      </c>
      <c r="O24" s="2" t="s">
        <v>36</v>
      </c>
      <c r="P24" s="2" t="s">
        <v>36</v>
      </c>
      <c r="Q24" s="2" t="s">
        <v>36</v>
      </c>
      <c r="R24" s="2" t="s">
        <v>37</v>
      </c>
      <c r="S24" s="2" t="s">
        <v>79</v>
      </c>
      <c r="T24" s="2" t="s">
        <v>37</v>
      </c>
      <c r="U24" s="2" t="s">
        <v>37</v>
      </c>
      <c r="V24" s="2" t="s">
        <v>36</v>
      </c>
      <c r="W24" s="2" t="s">
        <v>36</v>
      </c>
      <c r="X24" s="2" t="s">
        <v>37</v>
      </c>
    </row>
    <row r="25" spans="1:24" ht="29.25" customHeight="1" x14ac:dyDescent="0.25">
      <c r="A25" s="10">
        <v>22</v>
      </c>
      <c r="B25" s="19" t="str">
        <f>+'MODELO JEC'!B25</f>
        <v>GRAL ROQUE SAENZ PEÑA</v>
      </c>
      <c r="C25" s="2" t="s">
        <v>36</v>
      </c>
      <c r="D25" s="2" t="s">
        <v>37</v>
      </c>
      <c r="E25" s="2" t="s">
        <v>37</v>
      </c>
      <c r="F25" s="2" t="s">
        <v>36</v>
      </c>
      <c r="G25" s="2" t="s">
        <v>37</v>
      </c>
      <c r="H25" s="2" t="s">
        <v>37</v>
      </c>
      <c r="I25" s="2" t="s">
        <v>37</v>
      </c>
      <c r="J25" s="2" t="s">
        <v>36</v>
      </c>
      <c r="K25" s="2" t="s">
        <v>36</v>
      </c>
      <c r="L25" s="2" t="s">
        <v>36</v>
      </c>
      <c r="M25" s="2" t="s">
        <v>36</v>
      </c>
      <c r="N25" s="2" t="s">
        <v>37</v>
      </c>
      <c r="O25" s="2" t="s">
        <v>36</v>
      </c>
      <c r="P25" s="2" t="s">
        <v>36</v>
      </c>
      <c r="Q25" s="2" t="s">
        <v>36</v>
      </c>
      <c r="R25" s="2" t="s">
        <v>36</v>
      </c>
      <c r="S25" s="2" t="s">
        <v>79</v>
      </c>
      <c r="T25" s="2" t="s">
        <v>36</v>
      </c>
      <c r="U25" s="2" t="s">
        <v>37</v>
      </c>
      <c r="V25" s="2" t="s">
        <v>36</v>
      </c>
      <c r="W25" s="2" t="s">
        <v>36</v>
      </c>
      <c r="X25" s="2" t="s">
        <v>36</v>
      </c>
    </row>
    <row r="26" spans="1:24" ht="29.25" customHeight="1" x14ac:dyDescent="0.25">
      <c r="A26" s="10">
        <v>23</v>
      </c>
      <c r="B26" s="19" t="str">
        <f>+'MODELO JEC'!B26</f>
        <v>MIGUEL GRAU</v>
      </c>
      <c r="C26" s="2" t="s">
        <v>36</v>
      </c>
      <c r="D26" s="2" t="s">
        <v>36</v>
      </c>
      <c r="E26" s="2" t="s">
        <v>81</v>
      </c>
      <c r="F26" s="2" t="s">
        <v>36</v>
      </c>
      <c r="G26" s="2" t="s">
        <v>37</v>
      </c>
      <c r="H26" s="2" t="s">
        <v>36</v>
      </c>
      <c r="I26" s="2" t="s">
        <v>36</v>
      </c>
      <c r="J26" s="2" t="s">
        <v>37</v>
      </c>
      <c r="K26" s="2" t="s">
        <v>36</v>
      </c>
      <c r="L26" s="2" t="s">
        <v>36</v>
      </c>
      <c r="M26" s="2" t="s">
        <v>36</v>
      </c>
      <c r="N26" s="2" t="s">
        <v>37</v>
      </c>
      <c r="O26" s="2" t="s">
        <v>36</v>
      </c>
      <c r="P26" s="2" t="s">
        <v>36</v>
      </c>
      <c r="Q26" s="2" t="s">
        <v>37</v>
      </c>
      <c r="R26" s="2" t="s">
        <v>36</v>
      </c>
      <c r="S26" s="2" t="s">
        <v>37</v>
      </c>
      <c r="T26" s="2" t="s">
        <v>37</v>
      </c>
      <c r="U26" s="2" t="s">
        <v>37</v>
      </c>
      <c r="V26" s="2" t="s">
        <v>37</v>
      </c>
      <c r="W26" s="2" t="s">
        <v>36</v>
      </c>
      <c r="X26" s="2" t="s">
        <v>37</v>
      </c>
    </row>
    <row r="27" spans="1:24" ht="29.25" customHeight="1" x14ac:dyDescent="0.25">
      <c r="A27" s="10">
        <v>24</v>
      </c>
      <c r="B27" s="19" t="str">
        <f>+'MODELO JEC'!B27</f>
        <v>HIPOLOTO UNANUE</v>
      </c>
      <c r="C27" s="2" t="s">
        <v>36</v>
      </c>
      <c r="D27" s="2" t="s">
        <v>36</v>
      </c>
      <c r="E27" s="2" t="s">
        <v>36</v>
      </c>
      <c r="F27" s="2" t="s">
        <v>36</v>
      </c>
      <c r="G27" s="2" t="s">
        <v>37</v>
      </c>
      <c r="H27" s="2" t="s">
        <v>36</v>
      </c>
      <c r="I27" s="2" t="s">
        <v>36</v>
      </c>
      <c r="J27" s="2" t="s">
        <v>36</v>
      </c>
      <c r="K27" s="2" t="s">
        <v>36</v>
      </c>
      <c r="L27" s="2" t="s">
        <v>36</v>
      </c>
      <c r="M27" s="2" t="s">
        <v>36</v>
      </c>
      <c r="N27" s="2" t="s">
        <v>36</v>
      </c>
      <c r="O27" s="2" t="s">
        <v>36</v>
      </c>
      <c r="P27" s="2" t="s">
        <v>36</v>
      </c>
      <c r="Q27" s="2" t="s">
        <v>36</v>
      </c>
      <c r="R27" s="2" t="s">
        <v>36</v>
      </c>
      <c r="S27" s="2" t="s">
        <v>79</v>
      </c>
      <c r="T27" s="2" t="s">
        <v>37</v>
      </c>
      <c r="U27" s="2" t="s">
        <v>37</v>
      </c>
      <c r="V27" s="2" t="s">
        <v>36</v>
      </c>
      <c r="W27" s="2" t="s">
        <v>36</v>
      </c>
      <c r="X27" s="2" t="s">
        <v>36</v>
      </c>
    </row>
    <row r="28" spans="1:24" ht="29.25" customHeight="1" x14ac:dyDescent="0.25">
      <c r="A28" s="10">
        <v>25</v>
      </c>
      <c r="B28" s="19" t="str">
        <f>+'MODELO JEC'!B28</f>
        <v>MELITON CARVAJAL</v>
      </c>
      <c r="C28" s="2" t="s">
        <v>36</v>
      </c>
      <c r="D28" s="2" t="s">
        <v>37</v>
      </c>
      <c r="E28" s="2" t="s">
        <v>36</v>
      </c>
      <c r="F28" s="2" t="s">
        <v>36</v>
      </c>
      <c r="G28" s="2" t="s">
        <v>37</v>
      </c>
      <c r="H28" s="2" t="s">
        <v>37</v>
      </c>
      <c r="I28" s="2" t="s">
        <v>36</v>
      </c>
      <c r="J28" s="2" t="s">
        <v>36</v>
      </c>
      <c r="K28" s="2" t="s">
        <v>36</v>
      </c>
      <c r="L28" s="2" t="s">
        <v>36</v>
      </c>
      <c r="M28" s="2" t="s">
        <v>36</v>
      </c>
      <c r="N28" s="2" t="s">
        <v>36</v>
      </c>
      <c r="O28" s="2" t="s">
        <v>36</v>
      </c>
      <c r="P28" s="2" t="s">
        <v>36</v>
      </c>
      <c r="Q28" s="2" t="s">
        <v>36</v>
      </c>
      <c r="R28" s="2" t="s">
        <v>36</v>
      </c>
      <c r="S28" s="2" t="s">
        <v>79</v>
      </c>
      <c r="T28" s="2" t="s">
        <v>37</v>
      </c>
      <c r="U28" s="2" t="s">
        <v>37</v>
      </c>
      <c r="V28" s="2" t="s">
        <v>36</v>
      </c>
      <c r="W28" s="2" t="s">
        <v>82</v>
      </c>
      <c r="X28" s="2" t="s">
        <v>36</v>
      </c>
    </row>
    <row r="29" spans="1:24" ht="29.25" customHeight="1" x14ac:dyDescent="0.25">
      <c r="A29" s="10">
        <v>26</v>
      </c>
      <c r="B29" s="19" t="str">
        <f>+'MODELO JEC'!B29</f>
        <v>1071 ALFONSO UGARTE</v>
      </c>
      <c r="C29" s="2" t="s">
        <v>36</v>
      </c>
      <c r="D29" s="2" t="s">
        <v>36</v>
      </c>
      <c r="E29" s="2" t="s">
        <v>36</v>
      </c>
      <c r="F29" s="2" t="s">
        <v>82</v>
      </c>
      <c r="G29" s="2" t="s">
        <v>36</v>
      </c>
      <c r="H29" s="2" t="s">
        <v>36</v>
      </c>
      <c r="I29" s="2" t="s">
        <v>82</v>
      </c>
      <c r="J29" s="2" t="s">
        <v>36</v>
      </c>
      <c r="K29" s="2" t="s">
        <v>82</v>
      </c>
      <c r="L29" s="2" t="s">
        <v>36</v>
      </c>
      <c r="M29" s="2" t="s">
        <v>36</v>
      </c>
      <c r="N29" s="2" t="s">
        <v>36</v>
      </c>
      <c r="O29" s="2" t="s">
        <v>36</v>
      </c>
      <c r="P29" s="2" t="s">
        <v>36</v>
      </c>
      <c r="Q29" s="2" t="s">
        <v>36</v>
      </c>
      <c r="R29" s="2" t="s">
        <v>36</v>
      </c>
      <c r="S29" s="2" t="s">
        <v>82</v>
      </c>
      <c r="T29" s="2" t="s">
        <v>36</v>
      </c>
      <c r="U29" s="2" t="s">
        <v>36</v>
      </c>
      <c r="V29" s="2" t="s">
        <v>37</v>
      </c>
      <c r="W29" s="2" t="s">
        <v>36</v>
      </c>
      <c r="X29" s="2" t="s">
        <v>36</v>
      </c>
    </row>
    <row r="30" spans="1:24" ht="29.25" customHeight="1" x14ac:dyDescent="0.25">
      <c r="A30" s="10">
        <v>27</v>
      </c>
      <c r="B30" s="19" t="str">
        <f>+'MODELO JEC'!B30</f>
        <v>0001 MARIA AUXILIADORA</v>
      </c>
      <c r="C30" s="2" t="s">
        <v>36</v>
      </c>
      <c r="D30" s="2" t="s">
        <v>36</v>
      </c>
      <c r="E30" s="2" t="s">
        <v>36</v>
      </c>
      <c r="F30" s="2" t="s">
        <v>36</v>
      </c>
      <c r="G30" s="2" t="s">
        <v>36</v>
      </c>
      <c r="H30" s="2" t="s">
        <v>36</v>
      </c>
      <c r="I30" s="2" t="s">
        <v>37</v>
      </c>
      <c r="J30" s="2" t="s">
        <v>36</v>
      </c>
      <c r="K30" s="2" t="s">
        <v>36</v>
      </c>
      <c r="L30" s="2" t="s">
        <v>36</v>
      </c>
      <c r="M30" s="2" t="s">
        <v>36</v>
      </c>
      <c r="N30" s="2" t="s">
        <v>36</v>
      </c>
      <c r="O30" s="2" t="s">
        <v>36</v>
      </c>
      <c r="P30" s="2" t="s">
        <v>36</v>
      </c>
      <c r="Q30" s="2" t="s">
        <v>36</v>
      </c>
      <c r="R30" s="2" t="s">
        <v>36</v>
      </c>
      <c r="S30" s="2" t="s">
        <v>79</v>
      </c>
      <c r="T30" s="2" t="s">
        <v>36</v>
      </c>
      <c r="U30" s="2" t="s">
        <v>37</v>
      </c>
      <c r="V30" s="2" t="s">
        <v>36</v>
      </c>
      <c r="W30" s="2" t="s">
        <v>36</v>
      </c>
      <c r="X30" s="2" t="s">
        <v>36</v>
      </c>
    </row>
    <row r="31" spans="1:24" ht="29.25" customHeight="1" x14ac:dyDescent="0.25">
      <c r="A31" s="10">
        <v>28</v>
      </c>
      <c r="B31" s="19" t="str">
        <f>+'MODELO JEC'!B31</f>
        <v>022 REPUBLIZCA DE GUATEMALA</v>
      </c>
      <c r="C31" s="2" t="s">
        <v>36</v>
      </c>
      <c r="D31" s="2" t="s">
        <v>36</v>
      </c>
      <c r="E31" s="2" t="s">
        <v>36</v>
      </c>
      <c r="F31" s="2" t="s">
        <v>36</v>
      </c>
      <c r="G31" s="2" t="s">
        <v>37</v>
      </c>
      <c r="H31" s="2" t="s">
        <v>36</v>
      </c>
      <c r="I31" s="2" t="s">
        <v>36</v>
      </c>
      <c r="J31" s="2" t="s">
        <v>36</v>
      </c>
      <c r="K31" s="2" t="s">
        <v>36</v>
      </c>
      <c r="L31" s="2" t="s">
        <v>36</v>
      </c>
      <c r="M31" s="2" t="s">
        <v>37</v>
      </c>
      <c r="N31" s="2" t="s">
        <v>37</v>
      </c>
      <c r="O31" s="2" t="s">
        <v>36</v>
      </c>
      <c r="P31" s="2" t="s">
        <v>36</v>
      </c>
      <c r="Q31" s="2" t="s">
        <v>36</v>
      </c>
      <c r="R31" s="2" t="s">
        <v>36</v>
      </c>
      <c r="S31" s="2" t="s">
        <v>79</v>
      </c>
      <c r="T31" s="2" t="s">
        <v>37</v>
      </c>
      <c r="U31" s="2" t="s">
        <v>37</v>
      </c>
      <c r="V31" s="2" t="s">
        <v>37</v>
      </c>
      <c r="W31" s="2" t="s">
        <v>36</v>
      </c>
      <c r="X31" s="2" t="s">
        <v>37</v>
      </c>
    </row>
    <row r="32" spans="1:24" ht="29.25" customHeight="1" x14ac:dyDescent="0.25">
      <c r="A32" s="10">
        <v>29</v>
      </c>
      <c r="B32" s="19" t="str">
        <f>+'MODELO JEC'!B32</f>
        <v>TERESA GONZALES DE FANNING</v>
      </c>
      <c r="C32" s="2" t="s">
        <v>36</v>
      </c>
      <c r="D32" s="2" t="s">
        <v>36</v>
      </c>
      <c r="E32" s="2" t="s">
        <v>36</v>
      </c>
      <c r="F32" s="2" t="s">
        <v>36</v>
      </c>
      <c r="G32" s="2" t="s">
        <v>37</v>
      </c>
      <c r="H32" s="2" t="s">
        <v>37</v>
      </c>
      <c r="I32" s="2" t="s">
        <v>37</v>
      </c>
      <c r="J32" s="2" t="s">
        <v>37</v>
      </c>
      <c r="K32" s="2" t="s">
        <v>36</v>
      </c>
      <c r="L32" s="2" t="s">
        <v>36</v>
      </c>
      <c r="M32" s="2" t="s">
        <v>36</v>
      </c>
      <c r="N32" s="2" t="s">
        <v>37</v>
      </c>
      <c r="O32" s="2" t="s">
        <v>36</v>
      </c>
      <c r="P32" s="2" t="s">
        <v>36</v>
      </c>
      <c r="Q32" s="2" t="s">
        <v>36</v>
      </c>
      <c r="R32" s="2" t="s">
        <v>36</v>
      </c>
      <c r="S32" s="2" t="s">
        <v>79</v>
      </c>
      <c r="T32" s="2" t="s">
        <v>37</v>
      </c>
      <c r="U32" s="2" t="s">
        <v>37</v>
      </c>
      <c r="V32" s="2" t="s">
        <v>36</v>
      </c>
      <c r="W32" s="2" t="s">
        <v>36</v>
      </c>
      <c r="X32" s="2" t="s">
        <v>36</v>
      </c>
    </row>
  </sheetData>
  <mergeCells count="4">
    <mergeCell ref="C1:E1"/>
    <mergeCell ref="F1:J1"/>
    <mergeCell ref="K1:M1"/>
    <mergeCell ref="N1:X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election activeCell="D3" sqref="D3"/>
    </sheetView>
  </sheetViews>
  <sheetFormatPr baseColWidth="10" defaultColWidth="11.42578125" defaultRowHeight="15" x14ac:dyDescent="0.25"/>
  <sheetData>
    <row r="2" spans="2:2" x14ac:dyDescent="0.25">
      <c r="B2" t="s">
        <v>36</v>
      </c>
    </row>
    <row r="3" spans="2:2" x14ac:dyDescent="0.25">
      <c r="B3" t="s">
        <v>37</v>
      </c>
    </row>
    <row r="6" spans="2:2" x14ac:dyDescent="0.25">
      <c r="B6">
        <v>1</v>
      </c>
    </row>
    <row r="7" spans="2:2" x14ac:dyDescent="0.25">
      <c r="B7">
        <v>2</v>
      </c>
    </row>
    <row r="8" spans="2:2" x14ac:dyDescent="0.25">
      <c r="B8">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MODELO JEC</vt:lpstr>
      <vt:lpstr>COMPROMISOS DE DESEMPEÑO</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UGEL03 NVVS</dc:creator>
  <cp:keywords/>
  <dc:description/>
  <cp:lastModifiedBy>AGEBRE EBR UGEL03</cp:lastModifiedBy>
  <cp:revision/>
  <dcterms:created xsi:type="dcterms:W3CDTF">2025-06-03T20:27:23Z</dcterms:created>
  <dcterms:modified xsi:type="dcterms:W3CDTF">2026-05-22T21:51:58Z</dcterms:modified>
  <cp:category/>
  <cp:contentStatus/>
</cp:coreProperties>
</file>