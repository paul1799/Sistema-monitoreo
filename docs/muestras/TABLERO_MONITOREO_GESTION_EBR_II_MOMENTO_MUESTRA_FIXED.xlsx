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AT_6.1" state="visible" r:id="rId5"/>
    <sheet sheetId="3" name="CAT_6.2" state="visible" r:id="rId6"/>
    <sheet sheetId="4" name="CAT_6.3" state="visible" r:id="rId7"/>
    <sheet sheetId="5" name="CAT_6.4" state="visible" r:id="rId8"/>
    <sheet sheetId="6" name="CAT_6.5" state="visible" r:id="rId9"/>
    <sheet sheetId="7" name="DOCENTES_1ER_MOM" state="visible" r:id="rId10"/>
    <sheet sheetId="8" name="DOCENTES_2DO_MOM" state="visible" r:id="rId11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N.° 1 — El equipo directivo realiza el monitoreo y acompanamiento a los docentes segun el cronograma establecido, promoviendo un dialogo reflexivo con cada docente visitado.</t>
        </r>
      </text>
    </comment>
    <comment ref="D2" authorId="0">
      <text>
        <r>
          <t>N.° 2 — El equipo directivo realiza la sistematizacion del monitoreo a la practica pedagogica en sus tres etapas (inicio, proceso y salida).</t>
        </r>
      </text>
    </comment>
    <comment ref="E2" authorId="0">
      <text>
        <r>
          <t>N.° 3 — El equipo directivo, a partir del analisis del monitoreo a la practica docente, identifica logros y necesidades formativas, los cuales son socializados en las semanas de gestion.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N.° 4 — El equipo directivo promueve la participacion de los docentes en las ofertas formativas brindadas por MINEDU, DRELM o UGEL y realiza el seguimiento.</t>
        </r>
      </text>
    </comment>
    <comment ref="D2" authorId="0">
      <text>
        <r>
          <t>N.° 5 — El equipo directivo ejecuta acciones formativas, en relacion a las necesidades encontradas, como: GIA, microtalleres, pasantias, etc., de acuerdo con el cronograma establecido en su plan.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t>N.° 6 — El equipo directivo sistematiza, analiza y reflexiona sobre los resultados de aprendizaje por competencias en las areas de Comunicacion y Matematica, con el proposito de proponer acciones de mejora.</t>
        </r>
      </text>
    </comment>
    <comment ref="D2" authorId="0">
      <text>
        <r>
          <t>N.° 7 — A partir de la evaluacion diagnostica, la IE incorpora en su PAT metas de aprendizaje contextualizadas que responden a las caracteristicas y necesidades de los estudiantes.</t>
        </r>
      </text>
    </comment>
    <comment ref="E2" authorId="0">
      <text>
        <r>
          <t>N.° 8 — Se cuenta con evidencias para el reporte del Informe de las actividades de atencion diferenciada realizada con los estudiantes en el horario de RE. (Primaria PM 373 - Inst. 749; Secundaria PM 377 - Inst. 763).</t>
        </r>
      </text>
    </comment>
    <comment ref="F2" authorId="0">
      <text>
        <r>
          <t>N.° 9 — Se cuenta con evidencias de fortalecimiento y/o acompanamiento pedagogico a los docentes sobre Refuerzo Escolar. Se ha preparado el informe para el Registro en SIMON. (Primaria PM 373 - Inst. 749; Secundaria PM 377 - Inst. 763).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2" authorId="0">
      <text>
        <r>
          <t>N.° 10 — El equipo directivo realiza acciones de fortalecimiento docente sobre el uso pedagogico de los materiales educativos.</t>
        </r>
      </text>
    </comment>
    <comment ref="D2" authorId="0">
      <text>
        <r>
          <t>N.° 11 — El equipo directivo monitorea el uso adecuado de los cuadernos de trabajo y textos escolares en las sesiones de aprendizaje.</t>
        </r>
      </text>
    </comment>
    <comment ref="E2" authorId="0">
      <text>
        <r>
          <t>N.° 12 — Cuenta con espacios ludicos matematicos implementados con materiales concretos proporcionados por el MINEDU u otros. (Primaria y secundaria).</t>
        </r>
      </text>
    </comment>
    <comment ref="F2" authorId="0">
      <text>
        <r>
          <t>N.° 13 — El equipo directivo promueve el uso de espacios y materiales educativos diversos, generando mejores condiciones para los aprendizajes (laboratorios, talleres, bibliotecas, aulas flexibles, AIP, entre otros).</t>
        </r>
      </text>
    </comment>
    <comment ref="G2" authorId="0">
      <text>
        <r>
          <t>N.° 14 — El Profesor de Innovacion Pedagogica (PIP) realiza acciones de fortalecimiento con la comunidad educativa, promoviendo la incorporacion de las TIC en los procesos pedagogicos. (Primaria y Secundaria).</t>
        </r>
      </text>
    </comment>
    <comment ref="H2" authorId="0">
      <text>
        <r>
          <t>N.° 15 — El equipo directivo realiza el seguimiento al plan de trabajo del PIP, cumpliendo con presentar el reporte de las actividades realizadas. (Primaria y Secundaria).</t>
        </r>
      </text>
    </comment>
    <comment ref="I2" authorId="0">
      <text>
        <r>
          <t>N.° 16 — En la IE se realiza el monitoreo a la implementacion de la estrategia Khan Academy; cuyo cierre esta programado hasta el 30 de octubre en la plataforma Mundo IE.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t>N.° 17 — INNOVACION EDUCATIVA: El directivo ha identificado e implementado buenas practicas y/o Proyecto(s) de Innovacion en la IE y los ha incluido en el PAT actualizado.</t>
        </r>
      </text>
    </comment>
    <comment ref="D2" authorId="0">
      <text>
        <r>
          <t>N.° 18 — Presenta evidencias de los avances o resultados de la implementacion de Buenas Practicas o Proyectos Innovadores.</t>
        </r>
      </text>
    </comment>
    <comment ref="E2" authorId="0">
      <text>
        <r>
          <t>N.° 19 — PLAN LECTOR: Ha monitoreado la implementacion de las actividades consideradas en el Plan Lector segun la RVM N.o 062-2021-MINEDU.</t>
        </r>
      </text>
    </comment>
    <comment ref="F2" authorId="0">
      <text>
        <r>
          <t>N.° 20 — Ha aplicado ficha de monitoreo en el momento/hora de la lectura.</t>
        </r>
      </text>
    </comment>
    <comment ref="G2" authorId="0">
      <text>
        <r>
          <t>N.° 21 — IMPLEMENTACION DEL ENFOQUE AMBIENTAL - PEAI: Monitorea la implementacion de actividades segun el PEAI propuestas en el plan de trabajo.</t>
        </r>
      </text>
    </comment>
    <comment ref="H2" authorId="0">
      <text>
        <r>
          <t>N.° 22 — VIDA ACTIVA Y SALUDABLE: Presenta el Plan de Trabajo de Vida Activa y Saludable.</t>
        </r>
      </text>
    </comment>
    <comment ref="I2" authorId="0">
      <text>
        <r>
          <t>N.° 23 — Registra en el SIMON el Plan de monitoreo 393 - Inst. 794 (hasta el 30 de agosto) y 795 (hasta el 18 de diciembre).</t>
        </r>
      </text>
    </comment>
  </commentList>
</comments>
</file>

<file path=xl/sharedStrings.xml><?xml version="1.0" encoding="utf-8"?>
<sst xmlns="http://schemas.openxmlformats.org/spreadsheetml/2006/main" count="1889" uniqueCount="317">
  <si>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</si>
  <si>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</si>
  <si>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</si>
  <si>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</si>
  <si>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</si>
  <si>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</si>
  <si>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</si>
  <si>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</si>
  <si>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</si>
  <si>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</si>
  <si>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</si>
  <si>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</si>
  <si>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</si>
  <si>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</si>
  <si>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</si>
  <si>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</si>
  <si>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CAT_6.1</t>
  </si>
  <si>
    <t>CAT_6.2</t>
  </si>
  <si>
    <t>CAT_6.3</t>
  </si>
  <si>
    <t>CAT_6.4</t>
  </si>
  <si>
    <t>CAT_6.5</t>
  </si>
  <si>
    <t>RESULTADO</t>
  </si>
  <si>
    <t>ESTADO</t>
  </si>
  <si>
    <t>AVANCE</t>
  </si>
  <si>
    <t>888001</t>
  </si>
  <si>
    <t>IE NO VISITADA 1</t>
  </si>
  <si>
    <t>Primaria</t>
  </si>
  <si>
    <t>EBR</t>
  </si>
  <si>
    <t>UGEL 03</t>
  </si>
  <si>
    <t>02</t>
  </si>
  <si>
    <t>BREÑA</t>
  </si>
  <si>
    <t/>
  </si>
  <si>
    <t>888002</t>
  </si>
  <si>
    <t>IE NO VISITADA 2</t>
  </si>
  <si>
    <t>888003</t>
  </si>
  <si>
    <t>IE NO VISITADA 3</t>
  </si>
  <si>
    <t>888004</t>
  </si>
  <si>
    <t>IE NO VISITADA 4</t>
  </si>
  <si>
    <t>888005</t>
  </si>
  <si>
    <t>IE NO VISITADA 5</t>
  </si>
  <si>
    <t>30/09/2026</t>
  </si>
  <si>
    <t>288054</t>
  </si>
  <si>
    <t>0035 NUESTRA SEÑORA DE LA VISITACION</t>
  </si>
  <si>
    <t>Primaria y Secundaria</t>
  </si>
  <si>
    <t>04</t>
  </si>
  <si>
    <t>LIMA</t>
  </si>
  <si>
    <t>No</t>
  </si>
  <si>
    <t>Especialista UGEL 03</t>
  </si>
  <si>
    <t>OLIVERA CCALLA ELIZABETH EDITH</t>
  </si>
  <si>
    <t>10200005</t>
  </si>
  <si>
    <t>987100005</t>
  </si>
  <si>
    <t>Designado(a)</t>
  </si>
  <si>
    <t>olivera.ccalla.elizabeth.edith@ugel03.gob.pe</t>
  </si>
  <si>
    <t>287912</t>
  </si>
  <si>
    <t>0038 SAN MARTIN DE PORRES</t>
  </si>
  <si>
    <t>PARDO LOARTE ROSIMAR GUILLERMINA</t>
  </si>
  <si>
    <t>10200006</t>
  </si>
  <si>
    <t>987100006</t>
  </si>
  <si>
    <t>pardo.loarte.rosimar.guillermina@ugel03.gob.pe</t>
  </si>
  <si>
    <t>287988</t>
  </si>
  <si>
    <t>101 LIBERTADOR SIMON BOLIVAR / 1166 LIBERTADOR SIMON BOLIVAR</t>
  </si>
  <si>
    <t>ELENA PIZARRO SANTIAGO ELENA</t>
  </si>
  <si>
    <t>10200011</t>
  </si>
  <si>
    <t>987100011</t>
  </si>
  <si>
    <t>elena.pizarro.santiago.elena@ugel03.gob.pe</t>
  </si>
  <si>
    <t>288134</t>
  </si>
  <si>
    <t>105 PEDRO CORONADO ARRASCUE</t>
  </si>
  <si>
    <t>HUISA SURICHAQUI MARINO</t>
  </si>
  <si>
    <t>10200013</t>
  </si>
  <si>
    <t>987100013</t>
  </si>
  <si>
    <t>huisa.surichaqui.marino@ugel03.gob.pe</t>
  </si>
  <si>
    <t>288351</t>
  </si>
  <si>
    <t>1153 REPUBLICA DE CANADA</t>
  </si>
  <si>
    <t>GARCIA VALDERRAMA MARCO ANTONIO</t>
  </si>
  <si>
    <t>10200021</t>
  </si>
  <si>
    <t>987100021</t>
  </si>
  <si>
    <t>garcia.valderrama.marco.antonio@ugel03.gob.pe</t>
  </si>
  <si>
    <t>288105</t>
  </si>
  <si>
    <t>0095 MARIA AUXILIADORA</t>
  </si>
  <si>
    <t>05</t>
  </si>
  <si>
    <t>CARLOS ALVARADO JULIO AMANCIO</t>
  </si>
  <si>
    <t>10200008</t>
  </si>
  <si>
    <t>987100008</t>
  </si>
  <si>
    <t>carlos.alvarado.julio.amancio@ugel03.gob.pe</t>
  </si>
  <si>
    <t>288742</t>
  </si>
  <si>
    <t>100 VIRGEN DE LA MERCED</t>
  </si>
  <si>
    <t>CORONADO CARRION MONICA GIOVANA</t>
  </si>
  <si>
    <t>10200009</t>
  </si>
  <si>
    <t>987100009</t>
  </si>
  <si>
    <t>coronado.carrion.monica.giovana@ugel03.gob.pe</t>
  </si>
  <si>
    <t>287974</t>
  </si>
  <si>
    <t>1150 ABRAHAM ZEA CARREON</t>
  </si>
  <si>
    <t>URQUIA REINA AMANDA</t>
  </si>
  <si>
    <t>10200020</t>
  </si>
  <si>
    <t>987100020</t>
  </si>
  <si>
    <t>urquia.reina.amanda@ugel03.gob.pe</t>
  </si>
  <si>
    <t>288365</t>
  </si>
  <si>
    <t>1157 JULIO CESAR TELLO ROJAS</t>
  </si>
  <si>
    <t>AVALOS VERA GLORIA MARIA</t>
  </si>
  <si>
    <t>10200022</t>
  </si>
  <si>
    <t>987100022</t>
  </si>
  <si>
    <t>avalos.vera.gloria.maria@ugel03.gob.pe</t>
  </si>
  <si>
    <t>288389</t>
  </si>
  <si>
    <t>1161</t>
  </si>
  <si>
    <t>ROCA ENCINAS JUSTINA AGUEDA</t>
  </si>
  <si>
    <t>10200023</t>
  </si>
  <si>
    <t>987100023</t>
  </si>
  <si>
    <t>roca.encinas.justina.agueda@ugel03.gob.pe</t>
  </si>
  <si>
    <t>288153</t>
  </si>
  <si>
    <t>117 RVDO. PADRE PASCUAL ALEGRE GONZALES</t>
  </si>
  <si>
    <t>MAS OLIVA MEDALIT</t>
  </si>
  <si>
    <t>10200024</t>
  </si>
  <si>
    <t>987100024</t>
  </si>
  <si>
    <t>mas.oliva.medalit@ugel03.gob.pe</t>
  </si>
  <si>
    <t>287832</t>
  </si>
  <si>
    <t>19 EL PLANETA</t>
  </si>
  <si>
    <t>CHIAPPE TALAVERA LILIANA</t>
  </si>
  <si>
    <t>10200026</t>
  </si>
  <si>
    <t>987100026</t>
  </si>
  <si>
    <t>chiappe.talavera.liliana@ugel03.gob.pe</t>
  </si>
  <si>
    <t>287846</t>
  </si>
  <si>
    <t>21 SAN BENITO DE PALERMO</t>
  </si>
  <si>
    <t>MORENO LOPEZ GLADYS ESTRELLA</t>
  </si>
  <si>
    <t>10200027</t>
  </si>
  <si>
    <t>987100027</t>
  </si>
  <si>
    <t>moreno.lopez.gladys.estrella@ugel03.gob.pe</t>
  </si>
  <si>
    <t>287950</t>
  </si>
  <si>
    <t>94 MICAELA BASTIDAS</t>
  </si>
  <si>
    <t>LOZANO ESPINOZA LAURA</t>
  </si>
  <si>
    <t>10200028</t>
  </si>
  <si>
    <t>987100028</t>
  </si>
  <si>
    <t>lozano.espinoza.laura@ugel03.gob.pe</t>
  </si>
  <si>
    <t>288539</t>
  </si>
  <si>
    <t>JUAN PABLO VIZCARDO Y GUZMAN</t>
  </si>
  <si>
    <t>ALVARADO QUINCHO MOISES</t>
  </si>
  <si>
    <t>10200032</t>
  </si>
  <si>
    <t>987100032</t>
  </si>
  <si>
    <t>alvarado.quincho.moises@ugel03.gob.pe</t>
  </si>
  <si>
    <t>287827</t>
  </si>
  <si>
    <t>WARMA KUYAY</t>
  </si>
  <si>
    <t>ASENCIO GARCIA IVONNE ARAZELLI</t>
  </si>
  <si>
    <t>10200036</t>
  </si>
  <si>
    <t>987100036</t>
  </si>
  <si>
    <t>asencio.garcia.ivonne.arazelli@ugel03.gob.pe</t>
  </si>
  <si>
    <t>295648</t>
  </si>
  <si>
    <t>0002 HERMANO ANSELMO MARIA</t>
  </si>
  <si>
    <t>08</t>
  </si>
  <si>
    <t>SARCO RODRIGUEZ TERESA</t>
  </si>
  <si>
    <t>10200004</t>
  </si>
  <si>
    <t>987100004</t>
  </si>
  <si>
    <t>sarco.rodriguez.teresa@ugel03.gob.pe</t>
  </si>
  <si>
    <t>295610</t>
  </si>
  <si>
    <t>1008 VIRGEN DE LOURDES</t>
  </si>
  <si>
    <t>GAMARRA ESPEJO DELIA MARLENY</t>
  </si>
  <si>
    <t>10200010</t>
  </si>
  <si>
    <t>987100010</t>
  </si>
  <si>
    <t>gamarra.espejo.delia.marleny@ugel03.gob.pe</t>
  </si>
  <si>
    <t>295733</t>
  </si>
  <si>
    <t>1014 REP. ORIENTAL DEL URUGUAY</t>
  </si>
  <si>
    <t>MARTINEZ CONISLLE LUZMILA</t>
  </si>
  <si>
    <t>10200012</t>
  </si>
  <si>
    <t>987100012</t>
  </si>
  <si>
    <t>martinez.conislle.luzmila@ugel03.gob.pe</t>
  </si>
  <si>
    <t>295747</t>
  </si>
  <si>
    <t>MARIANO MELGAR</t>
  </si>
  <si>
    <t>NOLAZCO RIVAS EDGARD ALDO</t>
  </si>
  <si>
    <t>10200033</t>
  </si>
  <si>
    <t>987100033</t>
  </si>
  <si>
    <t>nolazco.rivas.edgard.aldo@ugel03.gob.pe</t>
  </si>
  <si>
    <t>295752</t>
  </si>
  <si>
    <t>MICAELA BASTIDAS</t>
  </si>
  <si>
    <t>LA ROSA TIMOTEO CESAR AUGUSTO</t>
  </si>
  <si>
    <t>10200034</t>
  </si>
  <si>
    <t>987100034</t>
  </si>
  <si>
    <t>la.rosa.timoteo.cesar.augusto@ugel03.gob.pe</t>
  </si>
  <si>
    <t>308735</t>
  </si>
  <si>
    <t>1117 ANDRES AVELINO ARAMBURU</t>
  </si>
  <si>
    <t>09</t>
  </si>
  <si>
    <t>SALOME GAMARRA CARMELA JUANA</t>
  </si>
  <si>
    <t>10200019</t>
  </si>
  <si>
    <t>987100019</t>
  </si>
  <si>
    <t>salome.gamarra.carmela.juana@ugel03.gob.pe</t>
  </si>
  <si>
    <t>308938</t>
  </si>
  <si>
    <t>GRAL FELIPE SANTIAGO SALAVERRY</t>
  </si>
  <si>
    <t>SALVADOR GLORIA JUAN EDUARDO</t>
  </si>
  <si>
    <t>10200029</t>
  </si>
  <si>
    <t>987100029</t>
  </si>
  <si>
    <t>salvador.gloria.juan.eduardo@ugel03.gob.pe</t>
  </si>
  <si>
    <t>308721</t>
  </si>
  <si>
    <t>HERMASIA PAGET</t>
  </si>
  <si>
    <t>GARCIA BALBIN LAURA</t>
  </si>
  <si>
    <t>10200030</t>
  </si>
  <si>
    <t>987100030</t>
  </si>
  <si>
    <t>garcia.balbin.laura@ugel03.gob.pe</t>
  </si>
  <si>
    <t>310026</t>
  </si>
  <si>
    <t>005 JESUSITO MILAGROSO</t>
  </si>
  <si>
    <t>12</t>
  </si>
  <si>
    <t>HUAMAN REBOLLAR MIRIAM MIRNA</t>
  </si>
  <si>
    <t>10200007</t>
  </si>
  <si>
    <t>987100007</t>
  </si>
  <si>
    <t>huaman.rebollar.miriam.mirna@ugel03.gob.pe</t>
  </si>
  <si>
    <t>323000</t>
  </si>
  <si>
    <t>1051 EL OLIVAR</t>
  </si>
  <si>
    <t>CONTRERAS JOAQUIN ROSALIND ELADIA</t>
  </si>
  <si>
    <t>10200014</t>
  </si>
  <si>
    <t>987100014</t>
  </si>
  <si>
    <t>contreras.joaquin.rosalind.eladia@ugel03.gob.pe</t>
  </si>
  <si>
    <t>310045</t>
  </si>
  <si>
    <t>1057 JOSE BAQUIJANO Y CARRILLO</t>
  </si>
  <si>
    <t>HUARHUA CAHUANA LUIS ALBERTO</t>
  </si>
  <si>
    <t>10200015</t>
  </si>
  <si>
    <t>987100015</t>
  </si>
  <si>
    <t>huarhua.cahuana.luis.alberto@ugel03.gob.pe</t>
  </si>
  <si>
    <t>310031</t>
  </si>
  <si>
    <t>1059 MARIA INMACULADA</t>
  </si>
  <si>
    <t>FALCON CCENTA YARIDA NORA</t>
  </si>
  <si>
    <t>10200016</t>
  </si>
  <si>
    <t>987100016</t>
  </si>
  <si>
    <t>falcon.ccenta.yarida.nora@ugel03.gob.pe</t>
  </si>
  <si>
    <t>310050</t>
  </si>
  <si>
    <t>1070 MELITON CARVAJAL</t>
  </si>
  <si>
    <t>SOTO MEZA, CONSUELO ELIZABETH</t>
  </si>
  <si>
    <t>10200017</t>
  </si>
  <si>
    <t>987100017</t>
  </si>
  <si>
    <t>soto.meza..consuelo.elizabeth@ugel03.gob.pe</t>
  </si>
  <si>
    <t>310069</t>
  </si>
  <si>
    <t>REPUBLICA DE CHILE</t>
  </si>
  <si>
    <t>GARCIA LIZANA GLADYS AMELIA</t>
  </si>
  <si>
    <t>10200035</t>
  </si>
  <si>
    <t>987100035</t>
  </si>
  <si>
    <t>garcia.lizana.gladys.amelia@ugel03.gob.pe</t>
  </si>
  <si>
    <t>315953</t>
  </si>
  <si>
    <t>1073 HERMANN BUSE DE LA GUERRA</t>
  </si>
  <si>
    <t>14</t>
  </si>
  <si>
    <t>LUDENA BENDEZU CARMEN</t>
  </si>
  <si>
    <t>10200018</t>
  </si>
  <si>
    <t>987100018</t>
  </si>
  <si>
    <t>ludena.bendezu.carmen@ugel03.gob.pe</t>
  </si>
  <si>
    <t>337403</t>
  </si>
  <si>
    <t>172 JOSE LUIS BUSTAMANTE Y RIVERO</t>
  </si>
  <si>
    <t>16</t>
  </si>
  <si>
    <t>ESCOBAR HUAROTO IRMA VIOLETA</t>
  </si>
  <si>
    <t>10200025</t>
  </si>
  <si>
    <t>987100025</t>
  </si>
  <si>
    <t>escobar.huaroto.irma.violeta@ugel03.gob.pe</t>
  </si>
  <si>
    <t>337417</t>
  </si>
  <si>
    <t>JARDIN DE LA INFANCIA N 1 DE LIMA</t>
  </si>
  <si>
    <t>CHIPANA HURTADO MARTHA</t>
  </si>
  <si>
    <t>10200031</t>
  </si>
  <si>
    <t>987100031</t>
  </si>
  <si>
    <t>chipana.hurtado.martha@ugel03.gob.pe</t>
  </si>
  <si>
    <t>6.1 MONITOREO Y ACOMPAÑAMIENTO A LA PRÁCTICA DOCENTE</t>
  </si>
  <si>
    <t>Nombre_IIEE</t>
  </si>
  <si>
    <t>ITEM_6.1.1</t>
  </si>
  <si>
    <t>ITEM_6.1.2</t>
  </si>
  <si>
    <t>ITEM_6.1.3</t>
  </si>
  <si>
    <t>Promedio</t>
  </si>
  <si>
    <t>Observaciones</t>
  </si>
  <si>
    <t>6.2 FORTALECIMIENTO DOCENTE</t>
  </si>
  <si>
    <t>ITEM_6.2.1</t>
  </si>
  <si>
    <t>ITEM_6.2.2</t>
  </si>
  <si>
    <t>6.3 EVALUACIÓN DE LOS APRENDIZAJES / REFUERZO ESCOLAR</t>
  </si>
  <si>
    <t>ITEM_6.3.1</t>
  </si>
  <si>
    <t>ITEM_6.3.2</t>
  </si>
  <si>
    <t>ITEM_6.3.3</t>
  </si>
  <si>
    <t>ITEM_6.3.4</t>
  </si>
  <si>
    <t>6.4 USO DE MATERIALES Y ESPACIOS EDUCATIVOS</t>
  </si>
  <si>
    <t>ITEM_6.4.1</t>
  </si>
  <si>
    <t>ITEM_6.4.2</t>
  </si>
  <si>
    <t>ITEM_6.4.3</t>
  </si>
  <si>
    <t>ITEM_6.4.4</t>
  </si>
  <si>
    <t>ITEM_6.4.5</t>
  </si>
  <si>
    <t>ITEM_6.4.6</t>
  </si>
  <si>
    <t>ITEM_6.4.7</t>
  </si>
  <si>
    <t>[V2_ITEM_6.4.6]: Requiere asistencia técnica</t>
  </si>
  <si>
    <t>[V2_ITEM_6.4.3]: Requiere asistencia técnica</t>
  </si>
  <si>
    <t>6.5 OTROS ASPECTOS</t>
  </si>
  <si>
    <t>ITEM_6.5.1</t>
  </si>
  <si>
    <t>ITEM_6.5.2</t>
  </si>
  <si>
    <t>ITEM_6.5.3</t>
  </si>
  <si>
    <t>ITEM_6.5.4</t>
  </si>
  <si>
    <t>ITEM_6.5.5</t>
  </si>
  <si>
    <t>ITEM_6.5.6</t>
  </si>
  <si>
    <t>ITEM_6.5.7</t>
  </si>
  <si>
    <t>[V2_ITEM_6.5.1]: Requiere asistencia técnica | [V2_ITEM_6.5.2]: Requiere asistencia técnica</t>
  </si>
  <si>
    <t>[V2_ITEM_6.5.3]: Requiere asistencia técnica | [V2_ITEM_6.5.4]: Requiere asistencia técnica</t>
  </si>
  <si>
    <t>[V2_ITEM_6.5.2]: Requiere asistencia técnica</t>
  </si>
  <si>
    <t>[V2_ITEM_6.5.1]: Requiere asistencia técnica | [V2_ITEM_6.5.4]: Requiere asistencia técnica</t>
  </si>
  <si>
    <t>[V2_ITEM_6.5.1]: Requiere asistencia técnica | [V2_ITEM_6.5.2]: Requiere asistencia técnica | [V2_ITEM_6.5.4]: Requiere asistencia técnica</t>
  </si>
  <si>
    <t>IV. DATA DE DOCENTES MONITOREADOS - PRIMER MOMENTO (por nivel). R1-R5 = rúbricas; I-IV = niveles de logro</t>
  </si>
  <si>
    <t>NIVEL</t>
  </si>
  <si>
    <t>TOTAL_DOCENTES</t>
  </si>
  <si>
    <t>DOCENTES_MONITOREADOS</t>
  </si>
  <si>
    <t>DOCENTES_NO_MONITOREADOS</t>
  </si>
  <si>
    <t>R1_I</t>
  </si>
  <si>
    <t>R1_II</t>
  </si>
  <si>
    <t>R1_III</t>
  </si>
  <si>
    <t>R1_IV</t>
  </si>
  <si>
    <t>R2_I</t>
  </si>
  <si>
    <t>R2_II</t>
  </si>
  <si>
    <t>R2_III</t>
  </si>
  <si>
    <t>R2_IV</t>
  </si>
  <si>
    <t>R3_I</t>
  </si>
  <si>
    <t>R3_II</t>
  </si>
  <si>
    <t>R3_III</t>
  </si>
  <si>
    <t>R3_IV</t>
  </si>
  <si>
    <t>R4_I</t>
  </si>
  <si>
    <t>R4_II</t>
  </si>
  <si>
    <t>R4_III</t>
  </si>
  <si>
    <t>R4_IV</t>
  </si>
  <si>
    <t>R5_I</t>
  </si>
  <si>
    <t>R5_II</t>
  </si>
  <si>
    <t>R5_III</t>
  </si>
  <si>
    <t>R5_IV</t>
  </si>
  <si>
    <t>Inicial</t>
  </si>
  <si>
    <t>Secundaria</t>
  </si>
  <si>
    <t>V. DATA DE DOCENTES MONITOREADOS - SEGUNDO MOMENTO (por nivel). R1-R5 = rúbricas; I-IV = niveles de logro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</si>
</sst>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00000"/>
      <sz val="10"/>
      <name val="Calibri"/>
    </font>
    <font>
      <b/>
      <color rgb="000000"/>
      <sz val="10"/>
      <name val="Calibri"/>
    </font>
    <font>
      <b/>
      <color rgb="FFFFFF"/>
      <sz val="13"/>
      <name val="Calibri"/>
    </font>
    <font>
      <color rgb="000000"/>
      <sz val="9"/>
      <name val="Calibri"/>
    </font>
    <font>
      <b/>
      <color rgb="FFFFFF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2F2"/>
      </patternFill>
    </fill>
    <fill>
      <patternFill patternType="solid">
        <fgColor rgb="1F4E78"/>
      </patternFill>
    </fill>
    <fill>
      <patternFill patternType="solid">
        <fgColor rgb="548235"/>
      </patternFill>
    </fill>
    <fill>
      <patternFill patternType="solid">
        <fgColor rgb="403152"/>
      </patternFill>
    </fill>
    <fill>
      <patternFill patternType="solid">
        <fgColor rgb="953735"/>
      </patternFill>
    </fill>
    <fill>
      <patternFill patternType="solid">
        <fgColor rgb="31859C"/>
      </patternFill>
    </fill>
    <fill>
      <patternFill patternType="solid">
        <fgColor rgb="808080"/>
      </patternFill>
    </fill>
  </fills>
  <borders count="9">
    <border>
      <left/>
      <right/>
      <top/>
      <bottom/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  <diagonal/>
    </border>
    <border>
      <left style="thin">
        <color rgb="548235"/>
      </left>
      <right style="thin">
        <color rgb="548235"/>
      </right>
      <top style="thin">
        <color rgb="548235"/>
      </top>
      <bottom style="thin">
        <color rgb="548235"/>
      </bottom>
      <diagonal/>
    </border>
    <border>
      <left style="thin">
        <color rgb="403152"/>
      </left>
      <right style="thin">
        <color rgb="403152"/>
      </right>
      <top style="thin">
        <color rgb="403152"/>
      </top>
      <bottom style="thin">
        <color rgb="403152"/>
      </bottom>
      <diagonal/>
    </border>
    <border>
      <left style="thin">
        <color rgb="953735"/>
      </left>
      <right style="thin">
        <color rgb="953735"/>
      </right>
      <top style="thin">
        <color rgb="953735"/>
      </top>
      <bottom style="thin">
        <color rgb="953735"/>
      </bottom>
      <diagonal/>
    </border>
    <border>
      <left style="thin">
        <color rgb="31859C"/>
      </left>
      <right style="thin">
        <color rgb="31859C"/>
      </right>
      <top style="thin">
        <color rgb="31859C"/>
      </top>
      <bottom style="thin">
        <color rgb="31859C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color rgb="595959"/>
        <sz val="10"/>
        <name val="Calibri"/>
      </font>
      <fill>
        <patternFill patternType="solid">
          <fgColor rgb="D9D9D9"/>
        </patternFill>
      </fill>
    </dxf>
    <dxf>
      <font>
        <b/>
        <color rgb="006100"/>
        <sz val="10"/>
        <name val="Calibri"/>
      </font>
      <fill>
        <patternFill patternType="solid">
          <fgColor rgb="C6EFCE"/>
        </patternFill>
      </fill>
    </dxf>
    <dxf>
      <font>
        <b/>
        <color rgb="9C5700"/>
        <sz val="10"/>
        <name val="Calibri"/>
      </font>
      <fill>
        <patternFill patternType="solid">
          <fgColor rgb="FFEB9C"/>
        </patternFill>
      </fill>
    </dxf>
    <dxf>
      <font>
        <b/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GENERAL" displayName="T_GENERAL" ref="A1:X39" totalsRowShown="1" headerRowCount="1">
  <autoFilter ref="A1:X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Fecha_Visita" totalsRowLabel="Total"/>
    <tableColumn id="2" name="MES" totalsRowFunction="none"/>
    <tableColumn id="3" name="Codigo_Local" totalsRowFunction="none"/>
    <tableColumn id="4" name="Nombre_IE" totalsRowFunction="none"/>
    <tableColumn id="5" name="Nivel" totalsRowFunction="none"/>
    <tableColumn id="6" name="Modalidad" totalsRowFunction="none"/>
    <tableColumn id="7" name="UGEL" totalsRowFunction="none"/>
    <tableColumn id="8" name="RED" totalsRowFunction="none"/>
    <tableColumn id="9" name="Distrito" totalsRowFunction="none"/>
    <tableColumn id="10" name="Modelo_Sec_Formacion_Tecnica" totalsRowFunction="none"/>
    <tableColumn id="11" name="Especialista" totalsRowFunction="none"/>
    <tableColumn id="12" name="Director_Apellidos_Nombres" totalsRowFunction="none"/>
    <tableColumn id="13" name="Director_DNI" totalsRowFunction="none"/>
    <tableColumn id="14" name="Director_Telefono" totalsRowFunction="none"/>
    <tableColumn id="15" name="Director_Condicion" totalsRowFunction="none"/>
    <tableColumn id="16" name="Director_Correo" totalsRowFunction="none"/>
    <tableColumn id="17" name="CAT_6.1" totalsRowFunction="none"/>
    <tableColumn id="18" name="CAT_6.2" totalsRowFunction="none"/>
    <tableColumn id="19" name="CAT_6.3" totalsRowFunction="none"/>
    <tableColumn id="20" name="CAT_6.4" totalsRowFunction="none"/>
    <tableColumn id="21" name="CAT_6.5" totalsRowFunction="none"/>
    <tableColumn id="22" name="RESULTADO" totalsRowFunction="none"/>
    <tableColumn id="23" name="ESTADO" totalsRowFunction="none"/>
    <tableColumn id="24" name="AVANCE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6_1" displayName="T_6_1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6.1.1" totalsRowFunction="none"/>
    <tableColumn id="4" name="ITEM_6.1.2" totalsRowFunction="none"/>
    <tableColumn id="5" name="ITEM_6.1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6_2" displayName="T_6_2" ref="A2:G40" totalsRowShown="1" headerRowCount="1">
  <autoFilter ref="A2:G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digo_Local" totalsRowLabel="Total"/>
    <tableColumn id="2" name="Nombre_IIEE" totalsRowFunction="none"/>
    <tableColumn id="3" name="ITEM_6.2.1" totalsRowFunction="none"/>
    <tableColumn id="4" name="ITEM_6.2.2" totalsRowFunction="none"/>
    <tableColumn id="5" name="Promedio" totalsRowFunction="none"/>
    <tableColumn id="6" name="RED" totalsRowFunction="none"/>
    <tableColumn id="7" name="Observaciones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6_3" displayName="T_6_3" ref="A2:I40" totalsRowShown="1" headerRowCount="1">
  <autoFilter ref="A2:I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_Local" totalsRowLabel="Total"/>
    <tableColumn id="2" name="Nombre_IIEE" totalsRowFunction="none"/>
    <tableColumn id="3" name="ITEM_6.3.1" totalsRowFunction="none"/>
    <tableColumn id="4" name="ITEM_6.3.2" totalsRowFunction="none"/>
    <tableColumn id="5" name="ITEM_6.3.3" totalsRowFunction="none"/>
    <tableColumn id="6" name="ITEM_6.3.4" totalsRowFunction="none"/>
    <tableColumn id="7" name="Promedio" totalsRowFunction="none"/>
    <tableColumn id="8" name="RED" totalsRowFunction="none"/>
    <tableColumn id="9" name="Observaciones" totalsRowFunction="no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6_4" displayName="T_6_4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4.1" totalsRowFunction="none"/>
    <tableColumn id="4" name="ITEM_6.4.2" totalsRowFunction="none"/>
    <tableColumn id="5" name="ITEM_6.4.3" totalsRowFunction="none"/>
    <tableColumn id="6" name="ITEM_6.4.4" totalsRowFunction="none"/>
    <tableColumn id="7" name="ITEM_6.4.5" totalsRowFunction="none"/>
    <tableColumn id="8" name="ITEM_6.4.6" totalsRowFunction="none"/>
    <tableColumn id="9" name="ITEM_6.4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6_5" displayName="T_6_5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5.1" totalsRowFunction="none"/>
    <tableColumn id="4" name="ITEM_6.5.2" totalsRowFunction="none"/>
    <tableColumn id="5" name="ITEM_6.5.3" totalsRowFunction="none"/>
    <tableColumn id="6" name="ITEM_6.5.4" totalsRowFunction="none"/>
    <tableColumn id="7" name="ITEM_6.5.5" totalsRowFunction="none"/>
    <tableColumn id="8" name="ITEM_6.5.6" totalsRowFunction="none"/>
    <tableColumn id="9" name="ITEM_6.5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DOC1" displayName="T_DOC1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DOC2" displayName="T_DOC2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8" max="8" width="6" customWidth="1"/>
    <col min="9" max="9" width="18" customWidth="1"/>
    <col min="10" max="10" width="14" customWidth="1"/>
    <col min="11" max="11" width="16" customWidth="1"/>
    <col min="12" max="12" width="30" customWidth="1"/>
    <col min="13" max="13" width="38.4" customWidth="1"/>
    <col min="14" max="14" width="12" customWidth="1"/>
    <col min="15" max="15" width="13" customWidth="1"/>
    <col min="16" max="16" width="24" customWidth="1"/>
    <col min="17" max="17" width="9.1" customWidth="1"/>
    <col min="18" max="18" width="8" customWidth="1"/>
    <col min="19" max="21" width="13" customWidth="1"/>
    <col min="22" max="22" width="11" customWidth="1"/>
    <col min="23" max="23" width="12" customWidth="1"/>
    <col min="24" max="24" width="13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 x14ac:dyDescent="0.25">
      <c r="A2" s="2"/>
      <c r="B2" s="3">
        <f>IF(ISBLANK(T_GENERAL[[#This Row],[Fecha_Visita]]),"",UPPER(TEXT(T_GENERAL[[#This Row],[Fecha_Visita]],"mmmm")))</f>
      </c>
      <c r="C2" s="4" t="s">
        <v>24</v>
      </c>
      <c r="D2" s="5" t="s">
        <v>25</v>
      </c>
      <c r="E2" s="6" t="s">
        <v>26</v>
      </c>
      <c r="F2" s="2" t="s">
        <v>27</v>
      </c>
      <c r="G2" s="2" t="s">
        <v>28</v>
      </c>
      <c r="H2" s="4" t="s">
        <v>29</v>
      </c>
      <c r="I2" s="6" t="s">
        <v>30</v>
      </c>
      <c r="J2" s="2"/>
      <c r="K2" s="6"/>
      <c r="L2" s="6" t="s">
        <v>31</v>
      </c>
      <c r="M2" s="4" t="s">
        <v>31</v>
      </c>
      <c r="N2" s="4" t="s">
        <v>31</v>
      </c>
      <c r="O2" s="2" t="s">
        <v>31</v>
      </c>
      <c r="P2" s="6" t="s">
        <v>31</v>
      </c>
      <c r="Q2" s="7">
        <f>IFERROR(INDEX(T_6_1[Promedio],MATCH(T_GENERAL[[#This Row],[Codigo_Local]],T_6_1[Codigo_Local],0)),0)</f>
      </c>
      <c r="R2" s="7">
        <f>IFERROR(INDEX(T_6_2[Promedio],MATCH(T_GENERAL[[#This Row],[Codigo_Local]],T_6_2[Codigo_Local],0)),0)</f>
      </c>
      <c r="S2" s="7">
        <f>IFERROR(INDEX(T_6_3[Promedio],MATCH(T_GENERAL[[#This Row],[Codigo_Local]],T_6_3[Codigo_Local],0)),0)</f>
      </c>
      <c r="T2" s="7">
        <f>IFERROR(INDEX(T_6_4[Promedio],MATCH(T_GENERAL[[#This Row],[Codigo_Local]],T_6_4[Codigo_Local],0)),0)</f>
      </c>
      <c r="U2" s="7">
        <f>IFERROR(INDEX(T_6_5[Promedio],MATCH(T_GENERAL[[#This Row],[Codigo_Local]],T_6_5[Codigo_Local],0)),0)</f>
      </c>
      <c r="V2" s="8">
        <f>AVERAGE(T_GENERAL[[#This Row],[CAT_6.1]],T_GENERAL[[#This Row],[CAT_6.2]],T_GENERAL[[#This Row],[CAT_6.3]],T_GENERAL[[#This Row],[CAT_6.4]],T_GENERAL[[#This Row],[CAT_6.5]])</f>
      </c>
      <c r="W2" s="9">
        <f>IF(T_GENERAL[[#This Row],[RESULTADO]]=0,"NO INICIÓ",IF(T_GENERAL[[#This Row],[RESULTADO]]&lt;=1,"INICIO",IF(T_GENERAL[[#This Row],[RESULTADO]]&lt;=2,"PROCESO",IF(T_GENERAL[[#This Row],[RESULTADO]]&lt;=3,"LOGRADO",""))))</f>
      </c>
      <c r="X2" s="3">
        <f>IF(T_GENERAL[[#This Row],[RESULTADO]]=0,"PENDIENTE","EJECUTADO")</f>
      </c>
    </row>
    <row r="3" ht="20" customHeight="1" spans="1:24" x14ac:dyDescent="0.25">
      <c r="A3" s="2"/>
      <c r="B3" s="3">
        <f>IF(ISBLANK(T_GENERAL[[#This Row],[Fecha_Visita]]),"",UPPER(TEXT(T_GENERAL[[#This Row],[Fecha_Visita]],"mmmm")))</f>
      </c>
      <c r="C3" s="4" t="s">
        <v>32</v>
      </c>
      <c r="D3" s="5" t="s">
        <v>33</v>
      </c>
      <c r="E3" s="6" t="s">
        <v>26</v>
      </c>
      <c r="F3" s="2" t="s">
        <v>27</v>
      </c>
      <c r="G3" s="2" t="s">
        <v>28</v>
      </c>
      <c r="H3" s="4" t="s">
        <v>29</v>
      </c>
      <c r="I3" s="6" t="s">
        <v>30</v>
      </c>
      <c r="J3" s="2"/>
      <c r="K3" s="6"/>
      <c r="L3" s="6" t="s">
        <v>31</v>
      </c>
      <c r="M3" s="4" t="s">
        <v>31</v>
      </c>
      <c r="N3" s="4" t="s">
        <v>31</v>
      </c>
      <c r="O3" s="2" t="s">
        <v>31</v>
      </c>
      <c r="P3" s="6" t="s">
        <v>31</v>
      </c>
      <c r="Q3" s="7">
        <f>IFERROR(INDEX(T_6_1[Promedio],MATCH(T_GENERAL[[#This Row],[Codigo_Local]],T_6_1[Codigo_Local],0)),0)</f>
      </c>
      <c r="R3" s="7">
        <f>IFERROR(INDEX(T_6_2[Promedio],MATCH(T_GENERAL[[#This Row],[Codigo_Local]],T_6_2[Codigo_Local],0)),0)</f>
      </c>
      <c r="S3" s="7">
        <f>IFERROR(INDEX(T_6_3[Promedio],MATCH(T_GENERAL[[#This Row],[Codigo_Local]],T_6_3[Codigo_Local],0)),0)</f>
      </c>
      <c r="T3" s="7">
        <f>IFERROR(INDEX(T_6_4[Promedio],MATCH(T_GENERAL[[#This Row],[Codigo_Local]],T_6_4[Codigo_Local],0)),0)</f>
      </c>
      <c r="U3" s="7">
        <f>IFERROR(INDEX(T_6_5[Promedio],MATCH(T_GENERAL[[#This Row],[Codigo_Local]],T_6_5[Codigo_Local],0)),0)</f>
      </c>
      <c r="V3" s="8">
        <f>AVERAGE(T_GENERAL[[#This Row],[CAT_6.1]],T_GENERAL[[#This Row],[CAT_6.2]],T_GENERAL[[#This Row],[CAT_6.3]],T_GENERAL[[#This Row],[CAT_6.4]],T_GENERAL[[#This Row],[CAT_6.5]])</f>
      </c>
      <c r="W3" s="9">
        <f>IF(T_GENERAL[[#This Row],[RESULTADO]]=0,"NO INICIÓ",IF(T_GENERAL[[#This Row],[RESULTADO]]&lt;=1,"INICIO",IF(T_GENERAL[[#This Row],[RESULTADO]]&lt;=2,"PROCESO",IF(T_GENERAL[[#This Row],[RESULTADO]]&lt;=3,"LOGRADO",""))))</f>
      </c>
      <c r="X3" s="3">
        <f>IF(T_GENERAL[[#This Row],[RESULTADO]]=0,"PENDIENTE","EJECUTADO")</f>
      </c>
    </row>
    <row r="4" ht="20" customHeight="1" spans="1:24" x14ac:dyDescent="0.25">
      <c r="A4" s="2"/>
      <c r="B4" s="3">
        <f>IF(ISBLANK(T_GENERAL[[#This Row],[Fecha_Visita]]),"",UPPER(TEXT(T_GENERAL[[#This Row],[Fecha_Visita]],"mmmm")))</f>
      </c>
      <c r="C4" s="4" t="s">
        <v>34</v>
      </c>
      <c r="D4" s="5" t="s">
        <v>35</v>
      </c>
      <c r="E4" s="6" t="s">
        <v>26</v>
      </c>
      <c r="F4" s="2" t="s">
        <v>27</v>
      </c>
      <c r="G4" s="2" t="s">
        <v>28</v>
      </c>
      <c r="H4" s="4" t="s">
        <v>29</v>
      </c>
      <c r="I4" s="6" t="s">
        <v>30</v>
      </c>
      <c r="J4" s="2"/>
      <c r="K4" s="6"/>
      <c r="L4" s="6" t="s">
        <v>31</v>
      </c>
      <c r="M4" s="4" t="s">
        <v>31</v>
      </c>
      <c r="N4" s="4" t="s">
        <v>31</v>
      </c>
      <c r="O4" s="2" t="s">
        <v>31</v>
      </c>
      <c r="P4" s="6" t="s">
        <v>31</v>
      </c>
      <c r="Q4" s="7">
        <f>IFERROR(INDEX(T_6_1[Promedio],MATCH(T_GENERAL[[#This Row],[Codigo_Local]],T_6_1[Codigo_Local],0)),0)</f>
      </c>
      <c r="R4" s="7">
        <f>IFERROR(INDEX(T_6_2[Promedio],MATCH(T_GENERAL[[#This Row],[Codigo_Local]],T_6_2[Codigo_Local],0)),0)</f>
      </c>
      <c r="S4" s="7">
        <f>IFERROR(INDEX(T_6_3[Promedio],MATCH(T_GENERAL[[#This Row],[Codigo_Local]],T_6_3[Codigo_Local],0)),0)</f>
      </c>
      <c r="T4" s="7">
        <f>IFERROR(INDEX(T_6_4[Promedio],MATCH(T_GENERAL[[#This Row],[Codigo_Local]],T_6_4[Codigo_Local],0)),0)</f>
      </c>
      <c r="U4" s="7">
        <f>IFERROR(INDEX(T_6_5[Promedio],MATCH(T_GENERAL[[#This Row],[Codigo_Local]],T_6_5[Codigo_Local],0)),0)</f>
      </c>
      <c r="V4" s="8">
        <f>AVERAGE(T_GENERAL[[#This Row],[CAT_6.1]],T_GENERAL[[#This Row],[CAT_6.2]],T_GENERAL[[#This Row],[CAT_6.3]],T_GENERAL[[#This Row],[CAT_6.4]],T_GENERAL[[#This Row],[CAT_6.5]])</f>
      </c>
      <c r="W4" s="9">
        <f>IF(T_GENERAL[[#This Row],[RESULTADO]]=0,"NO INICIÓ",IF(T_GENERAL[[#This Row],[RESULTADO]]&lt;=1,"INICIO",IF(T_GENERAL[[#This Row],[RESULTADO]]&lt;=2,"PROCESO",IF(T_GENERAL[[#This Row],[RESULTADO]]&lt;=3,"LOGRADO",""))))</f>
      </c>
      <c r="X4" s="3">
        <f>IF(T_GENERAL[[#This Row],[RESULTADO]]=0,"PENDIENTE","EJECUTADO")</f>
      </c>
    </row>
    <row r="5" ht="20" customHeight="1" spans="1:24" x14ac:dyDescent="0.25">
      <c r="A5" s="2"/>
      <c r="B5" s="3">
        <f>IF(ISBLANK(T_GENERAL[[#This Row],[Fecha_Visita]]),"",UPPER(TEXT(T_GENERAL[[#This Row],[Fecha_Visita]],"mmmm")))</f>
      </c>
      <c r="C5" s="4" t="s">
        <v>36</v>
      </c>
      <c r="D5" s="5" t="s">
        <v>37</v>
      </c>
      <c r="E5" s="6" t="s">
        <v>26</v>
      </c>
      <c r="F5" s="2" t="s">
        <v>27</v>
      </c>
      <c r="G5" s="2" t="s">
        <v>28</v>
      </c>
      <c r="H5" s="4" t="s">
        <v>29</v>
      </c>
      <c r="I5" s="6" t="s">
        <v>30</v>
      </c>
      <c r="J5" s="2"/>
      <c r="K5" s="6"/>
      <c r="L5" s="6" t="s">
        <v>31</v>
      </c>
      <c r="M5" s="4" t="s">
        <v>31</v>
      </c>
      <c r="N5" s="4" t="s">
        <v>31</v>
      </c>
      <c r="O5" s="2" t="s">
        <v>31</v>
      </c>
      <c r="P5" s="6" t="s">
        <v>31</v>
      </c>
      <c r="Q5" s="7">
        <f>IFERROR(INDEX(T_6_1[Promedio],MATCH(T_GENERAL[[#This Row],[Codigo_Local]],T_6_1[Codigo_Local],0)),0)</f>
      </c>
      <c r="R5" s="7">
        <f>IFERROR(INDEX(T_6_2[Promedio],MATCH(T_GENERAL[[#This Row],[Codigo_Local]],T_6_2[Codigo_Local],0)),0)</f>
      </c>
      <c r="S5" s="7">
        <f>IFERROR(INDEX(T_6_3[Promedio],MATCH(T_GENERAL[[#This Row],[Codigo_Local]],T_6_3[Codigo_Local],0)),0)</f>
      </c>
      <c r="T5" s="7">
        <f>IFERROR(INDEX(T_6_4[Promedio],MATCH(T_GENERAL[[#This Row],[Codigo_Local]],T_6_4[Codigo_Local],0)),0)</f>
      </c>
      <c r="U5" s="7">
        <f>IFERROR(INDEX(T_6_5[Promedio],MATCH(T_GENERAL[[#This Row],[Codigo_Local]],T_6_5[Codigo_Local],0)),0)</f>
      </c>
      <c r="V5" s="8">
        <f>AVERAGE(T_GENERAL[[#This Row],[CAT_6.1]],T_GENERAL[[#This Row],[CAT_6.2]],T_GENERAL[[#This Row],[CAT_6.3]],T_GENERAL[[#This Row],[CAT_6.4]],T_GENERAL[[#This Row],[CAT_6.5]])</f>
      </c>
      <c r="W5" s="9">
        <f>IF(T_GENERAL[[#This Row],[RESULTADO]]=0,"NO INICIÓ",IF(T_GENERAL[[#This Row],[RESULTADO]]&lt;=1,"INICIO",IF(T_GENERAL[[#This Row],[RESULTADO]]&lt;=2,"PROCESO",IF(T_GENERAL[[#This Row],[RESULTADO]]&lt;=3,"LOGRADO",""))))</f>
      </c>
      <c r="X5" s="3">
        <f>IF(T_GENERAL[[#This Row],[RESULTADO]]=0,"PENDIENTE","EJECUTADO")</f>
      </c>
    </row>
    <row r="6" ht="20" customHeight="1" spans="1:24" x14ac:dyDescent="0.25">
      <c r="A6" s="2"/>
      <c r="B6" s="3">
        <f>IF(ISBLANK(T_GENERAL[[#This Row],[Fecha_Visita]]),"",UPPER(TEXT(T_GENERAL[[#This Row],[Fecha_Visita]],"mmmm")))</f>
      </c>
      <c r="C6" s="4" t="s">
        <v>38</v>
      </c>
      <c r="D6" s="5" t="s">
        <v>39</v>
      </c>
      <c r="E6" s="6" t="s">
        <v>26</v>
      </c>
      <c r="F6" s="2" t="s">
        <v>27</v>
      </c>
      <c r="G6" s="2" t="s">
        <v>28</v>
      </c>
      <c r="H6" s="4" t="s">
        <v>29</v>
      </c>
      <c r="I6" s="6" t="s">
        <v>30</v>
      </c>
      <c r="J6" s="2"/>
      <c r="K6" s="6"/>
      <c r="L6" s="6" t="s">
        <v>31</v>
      </c>
      <c r="M6" s="4" t="s">
        <v>31</v>
      </c>
      <c r="N6" s="4" t="s">
        <v>31</v>
      </c>
      <c r="O6" s="2" t="s">
        <v>31</v>
      </c>
      <c r="P6" s="6" t="s">
        <v>31</v>
      </c>
      <c r="Q6" s="7">
        <f>IFERROR(INDEX(T_6_1[Promedio],MATCH(T_GENERAL[[#This Row],[Codigo_Local]],T_6_1[Codigo_Local],0)),0)</f>
      </c>
      <c r="R6" s="7">
        <f>IFERROR(INDEX(T_6_2[Promedio],MATCH(T_GENERAL[[#This Row],[Codigo_Local]],T_6_2[Codigo_Local],0)),0)</f>
      </c>
      <c r="S6" s="7">
        <f>IFERROR(INDEX(T_6_3[Promedio],MATCH(T_GENERAL[[#This Row],[Codigo_Local]],T_6_3[Codigo_Local],0)),0)</f>
      </c>
      <c r="T6" s="7">
        <f>IFERROR(INDEX(T_6_4[Promedio],MATCH(T_GENERAL[[#This Row],[Codigo_Local]],T_6_4[Codigo_Local],0)),0)</f>
      </c>
      <c r="U6" s="7">
        <f>IFERROR(INDEX(T_6_5[Promedio],MATCH(T_GENERAL[[#This Row],[Codigo_Local]],T_6_5[Codigo_Local],0)),0)</f>
      </c>
      <c r="V6" s="8">
        <f>AVERAGE(T_GENERAL[[#This Row],[CAT_6.1]],T_GENERAL[[#This Row],[CAT_6.2]],T_GENERAL[[#This Row],[CAT_6.3]],T_GENERAL[[#This Row],[CAT_6.4]],T_GENERAL[[#This Row],[CAT_6.5]])</f>
      </c>
      <c r="W6" s="9">
        <f>IF(T_GENERAL[[#This Row],[RESULTADO]]=0,"NO INICIÓ",IF(T_GENERAL[[#This Row],[RESULTADO]]&lt;=1,"INICIO",IF(T_GENERAL[[#This Row],[RESULTADO]]&lt;=2,"PROCESO",IF(T_GENERAL[[#This Row],[RESULTADO]]&lt;=3,"LOGRADO",""))))</f>
      </c>
      <c r="X6" s="3">
        <f>IF(T_GENERAL[[#This Row],[RESULTADO]]=0,"PENDIENTE","EJECUTADO")</f>
      </c>
    </row>
    <row r="7" ht="20" customHeight="1" spans="1:24" x14ac:dyDescent="0.25">
      <c r="A7" s="2" t="s">
        <v>40</v>
      </c>
      <c r="B7" s="3">
        <f>IF(ISBLANK(T_GENERAL[[#This Row],[Fecha_Visita]]),"",UPPER(TEXT(T_GENERAL[[#This Row],[Fecha_Visita]],"mmmm")))</f>
      </c>
      <c r="C7" s="4" t="s">
        <v>41</v>
      </c>
      <c r="D7" s="5" t="s">
        <v>42</v>
      </c>
      <c r="E7" s="6" t="s">
        <v>43</v>
      </c>
      <c r="F7" s="2" t="s">
        <v>27</v>
      </c>
      <c r="G7" s="2" t="s">
        <v>28</v>
      </c>
      <c r="H7" s="4" t="s">
        <v>44</v>
      </c>
      <c r="I7" s="6" t="s">
        <v>45</v>
      </c>
      <c r="J7" s="2" t="s">
        <v>46</v>
      </c>
      <c r="K7" s="6" t="s">
        <v>47</v>
      </c>
      <c r="L7" s="6" t="s">
        <v>48</v>
      </c>
      <c r="M7" s="4" t="s">
        <v>49</v>
      </c>
      <c r="N7" s="4" t="s">
        <v>50</v>
      </c>
      <c r="O7" s="2" t="s">
        <v>51</v>
      </c>
      <c r="P7" s="6" t="s">
        <v>52</v>
      </c>
      <c r="Q7" s="7">
        <f>IFERROR(INDEX(T_6_1[Promedio],MATCH(T_GENERAL[[#This Row],[Codigo_Local]],T_6_1[Codigo_Local],0)),0)</f>
      </c>
      <c r="R7" s="7">
        <f>IFERROR(INDEX(T_6_2[Promedio],MATCH(T_GENERAL[[#This Row],[Codigo_Local]],T_6_2[Codigo_Local],0)),0)</f>
      </c>
      <c r="S7" s="7">
        <f>IFERROR(INDEX(T_6_3[Promedio],MATCH(T_GENERAL[[#This Row],[Codigo_Local]],T_6_3[Codigo_Local],0)),0)</f>
      </c>
      <c r="T7" s="7">
        <f>IFERROR(INDEX(T_6_4[Promedio],MATCH(T_GENERAL[[#This Row],[Codigo_Local]],T_6_4[Codigo_Local],0)),0)</f>
      </c>
      <c r="U7" s="7">
        <f>IFERROR(INDEX(T_6_5[Promedio],MATCH(T_GENERAL[[#This Row],[Codigo_Local]],T_6_5[Codigo_Local],0)),0)</f>
      </c>
      <c r="V7" s="8">
        <f>AVERAGE(T_GENERAL[[#This Row],[CAT_6.1]],T_GENERAL[[#This Row],[CAT_6.2]],T_GENERAL[[#This Row],[CAT_6.3]],T_GENERAL[[#This Row],[CAT_6.4]],T_GENERAL[[#This Row],[CAT_6.5]])</f>
      </c>
      <c r="W7" s="9">
        <f>IF(T_GENERAL[[#This Row],[RESULTADO]]=0,"NO INICIÓ",IF(T_GENERAL[[#This Row],[RESULTADO]]&lt;=1,"INICIO",IF(T_GENERAL[[#This Row],[RESULTADO]]&lt;=2,"PROCESO",IF(T_GENERAL[[#This Row],[RESULTADO]]&lt;=3,"LOGRADO",""))))</f>
      </c>
      <c r="X7" s="3">
        <f>IF(T_GENERAL[[#This Row],[RESULTADO]]=0,"PENDIENTE","EJECUTADO")</f>
      </c>
    </row>
    <row r="8" ht="20" customHeight="1" spans="1:24" x14ac:dyDescent="0.25">
      <c r="A8" s="2" t="s">
        <v>40</v>
      </c>
      <c r="B8" s="3">
        <f>IF(ISBLANK(T_GENERAL[[#This Row],[Fecha_Visita]]),"",UPPER(TEXT(T_GENERAL[[#This Row],[Fecha_Visita]],"mmmm")))</f>
      </c>
      <c r="C8" s="4" t="s">
        <v>53</v>
      </c>
      <c r="D8" s="5" t="s">
        <v>54</v>
      </c>
      <c r="E8" s="6" t="s">
        <v>43</v>
      </c>
      <c r="F8" s="2" t="s">
        <v>27</v>
      </c>
      <c r="G8" s="2" t="s">
        <v>28</v>
      </c>
      <c r="H8" s="4" t="s">
        <v>44</v>
      </c>
      <c r="I8" s="6" t="s">
        <v>45</v>
      </c>
      <c r="J8" s="2" t="s">
        <v>46</v>
      </c>
      <c r="K8" s="6" t="s">
        <v>47</v>
      </c>
      <c r="L8" s="6" t="s">
        <v>55</v>
      </c>
      <c r="M8" s="4" t="s">
        <v>56</v>
      </c>
      <c r="N8" s="4" t="s">
        <v>57</v>
      </c>
      <c r="O8" s="2" t="s">
        <v>51</v>
      </c>
      <c r="P8" s="6" t="s">
        <v>58</v>
      </c>
      <c r="Q8" s="7">
        <f>IFERROR(INDEX(T_6_1[Promedio],MATCH(T_GENERAL[[#This Row],[Codigo_Local]],T_6_1[Codigo_Local],0)),0)</f>
      </c>
      <c r="R8" s="7">
        <f>IFERROR(INDEX(T_6_2[Promedio],MATCH(T_GENERAL[[#This Row],[Codigo_Local]],T_6_2[Codigo_Local],0)),0)</f>
      </c>
      <c r="S8" s="7">
        <f>IFERROR(INDEX(T_6_3[Promedio],MATCH(T_GENERAL[[#This Row],[Codigo_Local]],T_6_3[Codigo_Local],0)),0)</f>
      </c>
      <c r="T8" s="7">
        <f>IFERROR(INDEX(T_6_4[Promedio],MATCH(T_GENERAL[[#This Row],[Codigo_Local]],T_6_4[Codigo_Local],0)),0)</f>
      </c>
      <c r="U8" s="7">
        <f>IFERROR(INDEX(T_6_5[Promedio],MATCH(T_GENERAL[[#This Row],[Codigo_Local]],T_6_5[Codigo_Local],0)),0)</f>
      </c>
      <c r="V8" s="8">
        <f>AVERAGE(T_GENERAL[[#This Row],[CAT_6.1]],T_GENERAL[[#This Row],[CAT_6.2]],T_GENERAL[[#This Row],[CAT_6.3]],T_GENERAL[[#This Row],[CAT_6.4]],T_GENERAL[[#This Row],[CAT_6.5]])</f>
      </c>
      <c r="W8" s="9">
        <f>IF(T_GENERAL[[#This Row],[RESULTADO]]=0,"NO INICIÓ",IF(T_GENERAL[[#This Row],[RESULTADO]]&lt;=1,"INICIO",IF(T_GENERAL[[#This Row],[RESULTADO]]&lt;=2,"PROCESO",IF(T_GENERAL[[#This Row],[RESULTADO]]&lt;=3,"LOGRADO",""))))</f>
      </c>
      <c r="X8" s="3">
        <f>IF(T_GENERAL[[#This Row],[RESULTADO]]=0,"PENDIENTE","EJECUTADO")</f>
      </c>
    </row>
    <row r="9" ht="20" customHeight="1" spans="1:24" x14ac:dyDescent="0.25">
      <c r="A9" s="2" t="s">
        <v>40</v>
      </c>
      <c r="B9" s="3">
        <f>IF(ISBLANK(T_GENERAL[[#This Row],[Fecha_Visita]]),"",UPPER(TEXT(T_GENERAL[[#This Row],[Fecha_Visita]],"mmmm")))</f>
      </c>
      <c r="C9" s="4" t="s">
        <v>59</v>
      </c>
      <c r="D9" s="5" t="s">
        <v>60</v>
      </c>
      <c r="E9" s="6" t="s">
        <v>43</v>
      </c>
      <c r="F9" s="2" t="s">
        <v>27</v>
      </c>
      <c r="G9" s="2" t="s">
        <v>28</v>
      </c>
      <c r="H9" s="4" t="s">
        <v>44</v>
      </c>
      <c r="I9" s="6" t="s">
        <v>45</v>
      </c>
      <c r="J9" s="2" t="s">
        <v>46</v>
      </c>
      <c r="K9" s="6" t="s">
        <v>47</v>
      </c>
      <c r="L9" s="6" t="s">
        <v>61</v>
      </c>
      <c r="M9" s="4" t="s">
        <v>62</v>
      </c>
      <c r="N9" s="4" t="s">
        <v>63</v>
      </c>
      <c r="O9" s="2" t="s">
        <v>51</v>
      </c>
      <c r="P9" s="6" t="s">
        <v>64</v>
      </c>
      <c r="Q9" s="7">
        <f>IFERROR(INDEX(T_6_1[Promedio],MATCH(T_GENERAL[[#This Row],[Codigo_Local]],T_6_1[Codigo_Local],0)),0)</f>
      </c>
      <c r="R9" s="7">
        <f>IFERROR(INDEX(T_6_2[Promedio],MATCH(T_GENERAL[[#This Row],[Codigo_Local]],T_6_2[Codigo_Local],0)),0)</f>
      </c>
      <c r="S9" s="7">
        <f>IFERROR(INDEX(T_6_3[Promedio],MATCH(T_GENERAL[[#This Row],[Codigo_Local]],T_6_3[Codigo_Local],0)),0)</f>
      </c>
      <c r="T9" s="7">
        <f>IFERROR(INDEX(T_6_4[Promedio],MATCH(T_GENERAL[[#This Row],[Codigo_Local]],T_6_4[Codigo_Local],0)),0)</f>
      </c>
      <c r="U9" s="7">
        <f>IFERROR(INDEX(T_6_5[Promedio],MATCH(T_GENERAL[[#This Row],[Codigo_Local]],T_6_5[Codigo_Local],0)),0)</f>
      </c>
      <c r="V9" s="8">
        <f>AVERAGE(T_GENERAL[[#This Row],[CAT_6.1]],T_GENERAL[[#This Row],[CAT_6.2]],T_GENERAL[[#This Row],[CAT_6.3]],T_GENERAL[[#This Row],[CAT_6.4]],T_GENERAL[[#This Row],[CAT_6.5]])</f>
      </c>
      <c r="W9" s="9">
        <f>IF(T_GENERAL[[#This Row],[RESULTADO]]=0,"NO INICIÓ",IF(T_GENERAL[[#This Row],[RESULTADO]]&lt;=1,"INICIO",IF(T_GENERAL[[#This Row],[RESULTADO]]&lt;=2,"PROCESO",IF(T_GENERAL[[#This Row],[RESULTADO]]&lt;=3,"LOGRADO",""))))</f>
      </c>
      <c r="X9" s="3">
        <f>IF(T_GENERAL[[#This Row],[RESULTADO]]=0,"PENDIENTE","EJECUTADO")</f>
      </c>
    </row>
    <row r="10" ht="20" customHeight="1" spans="1:24" x14ac:dyDescent="0.25">
      <c r="A10" s="2" t="s">
        <v>40</v>
      </c>
      <c r="B10" s="3">
        <f>IF(ISBLANK(T_GENERAL[[#This Row],[Fecha_Visita]]),"",UPPER(TEXT(T_GENERAL[[#This Row],[Fecha_Visita]],"mmmm")))</f>
      </c>
      <c r="C10" s="4" t="s">
        <v>65</v>
      </c>
      <c r="D10" s="5" t="s">
        <v>66</v>
      </c>
      <c r="E10" s="6" t="s">
        <v>43</v>
      </c>
      <c r="F10" s="2" t="s">
        <v>27</v>
      </c>
      <c r="G10" s="2" t="s">
        <v>28</v>
      </c>
      <c r="H10" s="4" t="s">
        <v>44</v>
      </c>
      <c r="I10" s="6" t="s">
        <v>45</v>
      </c>
      <c r="J10" s="2" t="s">
        <v>46</v>
      </c>
      <c r="K10" s="6" t="s">
        <v>47</v>
      </c>
      <c r="L10" s="6" t="s">
        <v>67</v>
      </c>
      <c r="M10" s="4" t="s">
        <v>68</v>
      </c>
      <c r="N10" s="4" t="s">
        <v>69</v>
      </c>
      <c r="O10" s="2" t="s">
        <v>51</v>
      </c>
      <c r="P10" s="6" t="s">
        <v>70</v>
      </c>
      <c r="Q10" s="7">
        <f>IFERROR(INDEX(T_6_1[Promedio],MATCH(T_GENERAL[[#This Row],[Codigo_Local]],T_6_1[Codigo_Local],0)),0)</f>
      </c>
      <c r="R10" s="7">
        <f>IFERROR(INDEX(T_6_2[Promedio],MATCH(T_GENERAL[[#This Row],[Codigo_Local]],T_6_2[Codigo_Local],0)),0)</f>
      </c>
      <c r="S10" s="7">
        <f>IFERROR(INDEX(T_6_3[Promedio],MATCH(T_GENERAL[[#This Row],[Codigo_Local]],T_6_3[Codigo_Local],0)),0)</f>
      </c>
      <c r="T10" s="7">
        <f>IFERROR(INDEX(T_6_4[Promedio],MATCH(T_GENERAL[[#This Row],[Codigo_Local]],T_6_4[Codigo_Local],0)),0)</f>
      </c>
      <c r="U10" s="7">
        <f>IFERROR(INDEX(T_6_5[Promedio],MATCH(T_GENERAL[[#This Row],[Codigo_Local]],T_6_5[Codigo_Local],0)),0)</f>
      </c>
      <c r="V10" s="8">
        <f>AVERAGE(T_GENERAL[[#This Row],[CAT_6.1]],T_GENERAL[[#This Row],[CAT_6.2]],T_GENERAL[[#This Row],[CAT_6.3]],T_GENERAL[[#This Row],[CAT_6.4]],T_GENERAL[[#This Row],[CAT_6.5]])</f>
      </c>
      <c r="W10" s="9">
        <f>IF(T_GENERAL[[#This Row],[RESULTADO]]=0,"NO INICIÓ",IF(T_GENERAL[[#This Row],[RESULTADO]]&lt;=1,"INICIO",IF(T_GENERAL[[#This Row],[RESULTADO]]&lt;=2,"PROCESO",IF(T_GENERAL[[#This Row],[RESULTADO]]&lt;=3,"LOGRADO",""))))</f>
      </c>
      <c r="X10" s="3">
        <f>IF(T_GENERAL[[#This Row],[RESULTADO]]=0,"PENDIENTE","EJECUTADO")</f>
      </c>
    </row>
    <row r="11" ht="20" customHeight="1" spans="1:24" x14ac:dyDescent="0.25">
      <c r="A11" s="2" t="s">
        <v>40</v>
      </c>
      <c r="B11" s="3">
        <f>IF(ISBLANK(T_GENERAL[[#This Row],[Fecha_Visita]]),"",UPPER(TEXT(T_GENERAL[[#This Row],[Fecha_Visita]],"mmmm")))</f>
      </c>
      <c r="C11" s="4" t="s">
        <v>71</v>
      </c>
      <c r="D11" s="5" t="s">
        <v>72</v>
      </c>
      <c r="E11" s="6" t="s">
        <v>43</v>
      </c>
      <c r="F11" s="2" t="s">
        <v>27</v>
      </c>
      <c r="G11" s="2" t="s">
        <v>28</v>
      </c>
      <c r="H11" s="4" t="s">
        <v>44</v>
      </c>
      <c r="I11" s="6" t="s">
        <v>45</v>
      </c>
      <c r="J11" s="2" t="s">
        <v>46</v>
      </c>
      <c r="K11" s="6" t="s">
        <v>47</v>
      </c>
      <c r="L11" s="6" t="s">
        <v>73</v>
      </c>
      <c r="M11" s="4" t="s">
        <v>74</v>
      </c>
      <c r="N11" s="4" t="s">
        <v>75</v>
      </c>
      <c r="O11" s="2" t="s">
        <v>51</v>
      </c>
      <c r="P11" s="6" t="s">
        <v>76</v>
      </c>
      <c r="Q11" s="7">
        <f>IFERROR(INDEX(T_6_1[Promedio],MATCH(T_GENERAL[[#This Row],[Codigo_Local]],T_6_1[Codigo_Local],0)),0)</f>
      </c>
      <c r="R11" s="7">
        <f>IFERROR(INDEX(T_6_2[Promedio],MATCH(T_GENERAL[[#This Row],[Codigo_Local]],T_6_2[Codigo_Local],0)),0)</f>
      </c>
      <c r="S11" s="7">
        <f>IFERROR(INDEX(T_6_3[Promedio],MATCH(T_GENERAL[[#This Row],[Codigo_Local]],T_6_3[Codigo_Local],0)),0)</f>
      </c>
      <c r="T11" s="7">
        <f>IFERROR(INDEX(T_6_4[Promedio],MATCH(T_GENERAL[[#This Row],[Codigo_Local]],T_6_4[Codigo_Local],0)),0)</f>
      </c>
      <c r="U11" s="7">
        <f>IFERROR(INDEX(T_6_5[Promedio],MATCH(T_GENERAL[[#This Row],[Codigo_Local]],T_6_5[Codigo_Local],0)),0)</f>
      </c>
      <c r="V11" s="8">
        <f>AVERAGE(T_GENERAL[[#This Row],[CAT_6.1]],T_GENERAL[[#This Row],[CAT_6.2]],T_GENERAL[[#This Row],[CAT_6.3]],T_GENERAL[[#This Row],[CAT_6.4]],T_GENERAL[[#This Row],[CAT_6.5]])</f>
      </c>
      <c r="W11" s="9">
        <f>IF(T_GENERAL[[#This Row],[RESULTADO]]=0,"NO INICIÓ",IF(T_GENERAL[[#This Row],[RESULTADO]]&lt;=1,"INICIO",IF(T_GENERAL[[#This Row],[RESULTADO]]&lt;=2,"PROCESO",IF(T_GENERAL[[#This Row],[RESULTADO]]&lt;=3,"LOGRADO",""))))</f>
      </c>
      <c r="X11" s="3">
        <f>IF(T_GENERAL[[#This Row],[RESULTADO]]=0,"PENDIENTE","EJECUTADO")</f>
      </c>
    </row>
    <row r="12" ht="20" customHeight="1" spans="1:24" x14ac:dyDescent="0.25">
      <c r="A12" s="2" t="s">
        <v>40</v>
      </c>
      <c r="B12" s="3">
        <f>IF(ISBLANK(T_GENERAL[[#This Row],[Fecha_Visita]]),"",UPPER(TEXT(T_GENERAL[[#This Row],[Fecha_Visita]],"mmmm")))</f>
      </c>
      <c r="C12" s="4" t="s">
        <v>77</v>
      </c>
      <c r="D12" s="5" t="s">
        <v>78</v>
      </c>
      <c r="E12" s="6" t="s">
        <v>43</v>
      </c>
      <c r="F12" s="2" t="s">
        <v>27</v>
      </c>
      <c r="G12" s="2" t="s">
        <v>28</v>
      </c>
      <c r="H12" s="4" t="s">
        <v>79</v>
      </c>
      <c r="I12" s="6" t="s">
        <v>45</v>
      </c>
      <c r="J12" s="2" t="s">
        <v>46</v>
      </c>
      <c r="K12" s="6" t="s">
        <v>47</v>
      </c>
      <c r="L12" s="6" t="s">
        <v>80</v>
      </c>
      <c r="M12" s="4" t="s">
        <v>81</v>
      </c>
      <c r="N12" s="4" t="s">
        <v>82</v>
      </c>
      <c r="O12" s="2" t="s">
        <v>51</v>
      </c>
      <c r="P12" s="6" t="s">
        <v>83</v>
      </c>
      <c r="Q12" s="7">
        <f>IFERROR(INDEX(T_6_1[Promedio],MATCH(T_GENERAL[[#This Row],[Codigo_Local]],T_6_1[Codigo_Local],0)),0)</f>
      </c>
      <c r="R12" s="7">
        <f>IFERROR(INDEX(T_6_2[Promedio],MATCH(T_GENERAL[[#This Row],[Codigo_Local]],T_6_2[Codigo_Local],0)),0)</f>
      </c>
      <c r="S12" s="7">
        <f>IFERROR(INDEX(T_6_3[Promedio],MATCH(T_GENERAL[[#This Row],[Codigo_Local]],T_6_3[Codigo_Local],0)),0)</f>
      </c>
      <c r="T12" s="7">
        <f>IFERROR(INDEX(T_6_4[Promedio],MATCH(T_GENERAL[[#This Row],[Codigo_Local]],T_6_4[Codigo_Local],0)),0)</f>
      </c>
      <c r="U12" s="7">
        <f>IFERROR(INDEX(T_6_5[Promedio],MATCH(T_GENERAL[[#This Row],[Codigo_Local]],T_6_5[Codigo_Local],0)),0)</f>
      </c>
      <c r="V12" s="8">
        <f>AVERAGE(T_GENERAL[[#This Row],[CAT_6.1]],T_GENERAL[[#This Row],[CAT_6.2]],T_GENERAL[[#This Row],[CAT_6.3]],T_GENERAL[[#This Row],[CAT_6.4]],T_GENERAL[[#This Row],[CAT_6.5]])</f>
      </c>
      <c r="W12" s="9">
        <f>IF(T_GENERAL[[#This Row],[RESULTADO]]=0,"NO INICIÓ",IF(T_GENERAL[[#This Row],[RESULTADO]]&lt;=1,"INICIO",IF(T_GENERAL[[#This Row],[RESULTADO]]&lt;=2,"PROCESO",IF(T_GENERAL[[#This Row],[RESULTADO]]&lt;=3,"LOGRADO",""))))</f>
      </c>
      <c r="X12" s="3">
        <f>IF(T_GENERAL[[#This Row],[RESULTADO]]=0,"PENDIENTE","EJECUTADO")</f>
      </c>
    </row>
    <row r="13" ht="20" customHeight="1" spans="1:24" x14ac:dyDescent="0.25">
      <c r="A13" s="2" t="s">
        <v>40</v>
      </c>
      <c r="B13" s="3">
        <f>IF(ISBLANK(T_GENERAL[[#This Row],[Fecha_Visita]]),"",UPPER(TEXT(T_GENERAL[[#This Row],[Fecha_Visita]],"mmmm")))</f>
      </c>
      <c r="C13" s="4" t="s">
        <v>84</v>
      </c>
      <c r="D13" s="5" t="s">
        <v>85</v>
      </c>
      <c r="E13" s="6" t="s">
        <v>43</v>
      </c>
      <c r="F13" s="2" t="s">
        <v>27</v>
      </c>
      <c r="G13" s="2" t="s">
        <v>28</v>
      </c>
      <c r="H13" s="4" t="s">
        <v>79</v>
      </c>
      <c r="I13" s="6" t="s">
        <v>45</v>
      </c>
      <c r="J13" s="2" t="s">
        <v>46</v>
      </c>
      <c r="K13" s="6" t="s">
        <v>47</v>
      </c>
      <c r="L13" s="6" t="s">
        <v>86</v>
      </c>
      <c r="M13" s="4" t="s">
        <v>87</v>
      </c>
      <c r="N13" s="4" t="s">
        <v>88</v>
      </c>
      <c r="O13" s="2" t="s">
        <v>51</v>
      </c>
      <c r="P13" s="6" t="s">
        <v>89</v>
      </c>
      <c r="Q13" s="7">
        <f>IFERROR(INDEX(T_6_1[Promedio],MATCH(T_GENERAL[[#This Row],[Codigo_Local]],T_6_1[Codigo_Local],0)),0)</f>
      </c>
      <c r="R13" s="7">
        <f>IFERROR(INDEX(T_6_2[Promedio],MATCH(T_GENERAL[[#This Row],[Codigo_Local]],T_6_2[Codigo_Local],0)),0)</f>
      </c>
      <c r="S13" s="7">
        <f>IFERROR(INDEX(T_6_3[Promedio],MATCH(T_GENERAL[[#This Row],[Codigo_Local]],T_6_3[Codigo_Local],0)),0)</f>
      </c>
      <c r="T13" s="7">
        <f>IFERROR(INDEX(T_6_4[Promedio],MATCH(T_GENERAL[[#This Row],[Codigo_Local]],T_6_4[Codigo_Local],0)),0)</f>
      </c>
      <c r="U13" s="7">
        <f>IFERROR(INDEX(T_6_5[Promedio],MATCH(T_GENERAL[[#This Row],[Codigo_Local]],T_6_5[Codigo_Local],0)),0)</f>
      </c>
      <c r="V13" s="8">
        <f>AVERAGE(T_GENERAL[[#This Row],[CAT_6.1]],T_GENERAL[[#This Row],[CAT_6.2]],T_GENERAL[[#This Row],[CAT_6.3]],T_GENERAL[[#This Row],[CAT_6.4]],T_GENERAL[[#This Row],[CAT_6.5]])</f>
      </c>
      <c r="W13" s="9">
        <f>IF(T_GENERAL[[#This Row],[RESULTADO]]=0,"NO INICIÓ",IF(T_GENERAL[[#This Row],[RESULTADO]]&lt;=1,"INICIO",IF(T_GENERAL[[#This Row],[RESULTADO]]&lt;=2,"PROCESO",IF(T_GENERAL[[#This Row],[RESULTADO]]&lt;=3,"LOGRADO",""))))</f>
      </c>
      <c r="X13" s="3">
        <f>IF(T_GENERAL[[#This Row],[RESULTADO]]=0,"PENDIENTE","EJECUTADO")</f>
      </c>
    </row>
    <row r="14" ht="20" customHeight="1" spans="1:24" x14ac:dyDescent="0.25">
      <c r="A14" s="2" t="s">
        <v>40</v>
      </c>
      <c r="B14" s="3">
        <f>IF(ISBLANK(T_GENERAL[[#This Row],[Fecha_Visita]]),"",UPPER(TEXT(T_GENERAL[[#This Row],[Fecha_Visita]],"mmmm")))</f>
      </c>
      <c r="C14" s="4" t="s">
        <v>90</v>
      </c>
      <c r="D14" s="5" t="s">
        <v>91</v>
      </c>
      <c r="E14" s="6" t="s">
        <v>43</v>
      </c>
      <c r="F14" s="2" t="s">
        <v>27</v>
      </c>
      <c r="G14" s="2" t="s">
        <v>28</v>
      </c>
      <c r="H14" s="4" t="s">
        <v>79</v>
      </c>
      <c r="I14" s="6" t="s">
        <v>45</v>
      </c>
      <c r="J14" s="2" t="s">
        <v>46</v>
      </c>
      <c r="K14" s="6" t="s">
        <v>47</v>
      </c>
      <c r="L14" s="6" t="s">
        <v>92</v>
      </c>
      <c r="M14" s="4" t="s">
        <v>93</v>
      </c>
      <c r="N14" s="4" t="s">
        <v>94</v>
      </c>
      <c r="O14" s="2" t="s">
        <v>51</v>
      </c>
      <c r="P14" s="6" t="s">
        <v>95</v>
      </c>
      <c r="Q14" s="7">
        <f>IFERROR(INDEX(T_6_1[Promedio],MATCH(T_GENERAL[[#This Row],[Codigo_Local]],T_6_1[Codigo_Local],0)),0)</f>
      </c>
      <c r="R14" s="7">
        <f>IFERROR(INDEX(T_6_2[Promedio],MATCH(T_GENERAL[[#This Row],[Codigo_Local]],T_6_2[Codigo_Local],0)),0)</f>
      </c>
      <c r="S14" s="7">
        <f>IFERROR(INDEX(T_6_3[Promedio],MATCH(T_GENERAL[[#This Row],[Codigo_Local]],T_6_3[Codigo_Local],0)),0)</f>
      </c>
      <c r="T14" s="7">
        <f>IFERROR(INDEX(T_6_4[Promedio],MATCH(T_GENERAL[[#This Row],[Codigo_Local]],T_6_4[Codigo_Local],0)),0)</f>
      </c>
      <c r="U14" s="7">
        <f>IFERROR(INDEX(T_6_5[Promedio],MATCH(T_GENERAL[[#This Row],[Codigo_Local]],T_6_5[Codigo_Local],0)),0)</f>
      </c>
      <c r="V14" s="8">
        <f>AVERAGE(T_GENERAL[[#This Row],[CAT_6.1]],T_GENERAL[[#This Row],[CAT_6.2]],T_GENERAL[[#This Row],[CAT_6.3]],T_GENERAL[[#This Row],[CAT_6.4]],T_GENERAL[[#This Row],[CAT_6.5]])</f>
      </c>
      <c r="W14" s="9">
        <f>IF(T_GENERAL[[#This Row],[RESULTADO]]=0,"NO INICIÓ",IF(T_GENERAL[[#This Row],[RESULTADO]]&lt;=1,"INICIO",IF(T_GENERAL[[#This Row],[RESULTADO]]&lt;=2,"PROCESO",IF(T_GENERAL[[#This Row],[RESULTADO]]&lt;=3,"LOGRADO",""))))</f>
      </c>
      <c r="X14" s="3">
        <f>IF(T_GENERAL[[#This Row],[RESULTADO]]=0,"PENDIENTE","EJECUTADO")</f>
      </c>
    </row>
    <row r="15" ht="20" customHeight="1" spans="1:24" x14ac:dyDescent="0.25">
      <c r="A15" s="2" t="s">
        <v>40</v>
      </c>
      <c r="B15" s="3">
        <f>IF(ISBLANK(T_GENERAL[[#This Row],[Fecha_Visita]]),"",UPPER(TEXT(T_GENERAL[[#This Row],[Fecha_Visita]],"mmmm")))</f>
      </c>
      <c r="C15" s="4" t="s">
        <v>96</v>
      </c>
      <c r="D15" s="5" t="s">
        <v>97</v>
      </c>
      <c r="E15" s="6" t="s">
        <v>43</v>
      </c>
      <c r="F15" s="2" t="s">
        <v>27</v>
      </c>
      <c r="G15" s="2" t="s">
        <v>28</v>
      </c>
      <c r="H15" s="4" t="s">
        <v>79</v>
      </c>
      <c r="I15" s="6" t="s">
        <v>45</v>
      </c>
      <c r="J15" s="2" t="s">
        <v>46</v>
      </c>
      <c r="K15" s="6" t="s">
        <v>47</v>
      </c>
      <c r="L15" s="6" t="s">
        <v>98</v>
      </c>
      <c r="M15" s="4" t="s">
        <v>99</v>
      </c>
      <c r="N15" s="4" t="s">
        <v>100</v>
      </c>
      <c r="O15" s="2" t="s">
        <v>51</v>
      </c>
      <c r="P15" s="6" t="s">
        <v>101</v>
      </c>
      <c r="Q15" s="7">
        <f>IFERROR(INDEX(T_6_1[Promedio],MATCH(T_GENERAL[[#This Row],[Codigo_Local]],T_6_1[Codigo_Local],0)),0)</f>
      </c>
      <c r="R15" s="7">
        <f>IFERROR(INDEX(T_6_2[Promedio],MATCH(T_GENERAL[[#This Row],[Codigo_Local]],T_6_2[Codigo_Local],0)),0)</f>
      </c>
      <c r="S15" s="7">
        <f>IFERROR(INDEX(T_6_3[Promedio],MATCH(T_GENERAL[[#This Row],[Codigo_Local]],T_6_3[Codigo_Local],0)),0)</f>
      </c>
      <c r="T15" s="7">
        <f>IFERROR(INDEX(T_6_4[Promedio],MATCH(T_GENERAL[[#This Row],[Codigo_Local]],T_6_4[Codigo_Local],0)),0)</f>
      </c>
      <c r="U15" s="7">
        <f>IFERROR(INDEX(T_6_5[Promedio],MATCH(T_GENERAL[[#This Row],[Codigo_Local]],T_6_5[Codigo_Local],0)),0)</f>
      </c>
      <c r="V15" s="8">
        <f>AVERAGE(T_GENERAL[[#This Row],[CAT_6.1]],T_GENERAL[[#This Row],[CAT_6.2]],T_GENERAL[[#This Row],[CAT_6.3]],T_GENERAL[[#This Row],[CAT_6.4]],T_GENERAL[[#This Row],[CAT_6.5]])</f>
      </c>
      <c r="W15" s="9">
        <f>IF(T_GENERAL[[#This Row],[RESULTADO]]=0,"NO INICIÓ",IF(T_GENERAL[[#This Row],[RESULTADO]]&lt;=1,"INICIO",IF(T_GENERAL[[#This Row],[RESULTADO]]&lt;=2,"PROCESO",IF(T_GENERAL[[#This Row],[RESULTADO]]&lt;=3,"LOGRADO",""))))</f>
      </c>
      <c r="X15" s="3">
        <f>IF(T_GENERAL[[#This Row],[RESULTADO]]=0,"PENDIENTE","EJECUTADO")</f>
      </c>
    </row>
    <row r="16" ht="20" customHeight="1" spans="1:24" x14ac:dyDescent="0.25">
      <c r="A16" s="2" t="s">
        <v>40</v>
      </c>
      <c r="B16" s="3">
        <f>IF(ISBLANK(T_GENERAL[[#This Row],[Fecha_Visita]]),"",UPPER(TEXT(T_GENERAL[[#This Row],[Fecha_Visita]],"mmmm")))</f>
      </c>
      <c r="C16" s="4" t="s">
        <v>102</v>
      </c>
      <c r="D16" s="5" t="s">
        <v>103</v>
      </c>
      <c r="E16" s="6" t="s">
        <v>43</v>
      </c>
      <c r="F16" s="2" t="s">
        <v>27</v>
      </c>
      <c r="G16" s="2" t="s">
        <v>28</v>
      </c>
      <c r="H16" s="4" t="s">
        <v>79</v>
      </c>
      <c r="I16" s="6" t="s">
        <v>45</v>
      </c>
      <c r="J16" s="2" t="s">
        <v>46</v>
      </c>
      <c r="K16" s="6" t="s">
        <v>47</v>
      </c>
      <c r="L16" s="6" t="s">
        <v>104</v>
      </c>
      <c r="M16" s="4" t="s">
        <v>105</v>
      </c>
      <c r="N16" s="4" t="s">
        <v>106</v>
      </c>
      <c r="O16" s="2" t="s">
        <v>51</v>
      </c>
      <c r="P16" s="6" t="s">
        <v>107</v>
      </c>
      <c r="Q16" s="7">
        <f>IFERROR(INDEX(T_6_1[Promedio],MATCH(T_GENERAL[[#This Row],[Codigo_Local]],T_6_1[Codigo_Local],0)),0)</f>
      </c>
      <c r="R16" s="7">
        <f>IFERROR(INDEX(T_6_2[Promedio],MATCH(T_GENERAL[[#This Row],[Codigo_Local]],T_6_2[Codigo_Local],0)),0)</f>
      </c>
      <c r="S16" s="7">
        <f>IFERROR(INDEX(T_6_3[Promedio],MATCH(T_GENERAL[[#This Row],[Codigo_Local]],T_6_3[Codigo_Local],0)),0)</f>
      </c>
      <c r="T16" s="7">
        <f>IFERROR(INDEX(T_6_4[Promedio],MATCH(T_GENERAL[[#This Row],[Codigo_Local]],T_6_4[Codigo_Local],0)),0)</f>
      </c>
      <c r="U16" s="7">
        <f>IFERROR(INDEX(T_6_5[Promedio],MATCH(T_GENERAL[[#This Row],[Codigo_Local]],T_6_5[Codigo_Local],0)),0)</f>
      </c>
      <c r="V16" s="8">
        <f>AVERAGE(T_GENERAL[[#This Row],[CAT_6.1]],T_GENERAL[[#This Row],[CAT_6.2]],T_GENERAL[[#This Row],[CAT_6.3]],T_GENERAL[[#This Row],[CAT_6.4]],T_GENERAL[[#This Row],[CAT_6.5]])</f>
      </c>
      <c r="W16" s="9">
        <f>IF(T_GENERAL[[#This Row],[RESULTADO]]=0,"NO INICIÓ",IF(T_GENERAL[[#This Row],[RESULTADO]]&lt;=1,"INICIO",IF(T_GENERAL[[#This Row],[RESULTADO]]&lt;=2,"PROCESO",IF(T_GENERAL[[#This Row],[RESULTADO]]&lt;=3,"LOGRADO",""))))</f>
      </c>
      <c r="X16" s="3">
        <f>IF(T_GENERAL[[#This Row],[RESULTADO]]=0,"PENDIENTE","EJECUTADO")</f>
      </c>
    </row>
    <row r="17" ht="20" customHeight="1" spans="1:24" x14ac:dyDescent="0.25">
      <c r="A17" s="2" t="s">
        <v>40</v>
      </c>
      <c r="B17" s="3">
        <f>IF(ISBLANK(T_GENERAL[[#This Row],[Fecha_Visita]]),"",UPPER(TEXT(T_GENERAL[[#This Row],[Fecha_Visita]],"mmmm")))</f>
      </c>
      <c r="C17" s="4" t="s">
        <v>108</v>
      </c>
      <c r="D17" s="5" t="s">
        <v>109</v>
      </c>
      <c r="E17" s="6" t="s">
        <v>43</v>
      </c>
      <c r="F17" s="2" t="s">
        <v>27</v>
      </c>
      <c r="G17" s="2" t="s">
        <v>28</v>
      </c>
      <c r="H17" s="4" t="s">
        <v>79</v>
      </c>
      <c r="I17" s="6" t="s">
        <v>45</v>
      </c>
      <c r="J17" s="2" t="s">
        <v>46</v>
      </c>
      <c r="K17" s="6" t="s">
        <v>47</v>
      </c>
      <c r="L17" s="6" t="s">
        <v>110</v>
      </c>
      <c r="M17" s="4" t="s">
        <v>111</v>
      </c>
      <c r="N17" s="4" t="s">
        <v>112</v>
      </c>
      <c r="O17" s="2" t="s">
        <v>51</v>
      </c>
      <c r="P17" s="6" t="s">
        <v>113</v>
      </c>
      <c r="Q17" s="7">
        <f>IFERROR(INDEX(T_6_1[Promedio],MATCH(T_GENERAL[[#This Row],[Codigo_Local]],T_6_1[Codigo_Local],0)),0)</f>
      </c>
      <c r="R17" s="7">
        <f>IFERROR(INDEX(T_6_2[Promedio],MATCH(T_GENERAL[[#This Row],[Codigo_Local]],T_6_2[Codigo_Local],0)),0)</f>
      </c>
      <c r="S17" s="7">
        <f>IFERROR(INDEX(T_6_3[Promedio],MATCH(T_GENERAL[[#This Row],[Codigo_Local]],T_6_3[Codigo_Local],0)),0)</f>
      </c>
      <c r="T17" s="7">
        <f>IFERROR(INDEX(T_6_4[Promedio],MATCH(T_GENERAL[[#This Row],[Codigo_Local]],T_6_4[Codigo_Local],0)),0)</f>
      </c>
      <c r="U17" s="7">
        <f>IFERROR(INDEX(T_6_5[Promedio],MATCH(T_GENERAL[[#This Row],[Codigo_Local]],T_6_5[Codigo_Local],0)),0)</f>
      </c>
      <c r="V17" s="8">
        <f>AVERAGE(T_GENERAL[[#This Row],[CAT_6.1]],T_GENERAL[[#This Row],[CAT_6.2]],T_GENERAL[[#This Row],[CAT_6.3]],T_GENERAL[[#This Row],[CAT_6.4]],T_GENERAL[[#This Row],[CAT_6.5]])</f>
      </c>
      <c r="W17" s="9">
        <f>IF(T_GENERAL[[#This Row],[RESULTADO]]=0,"NO INICIÓ",IF(T_GENERAL[[#This Row],[RESULTADO]]&lt;=1,"INICIO",IF(T_GENERAL[[#This Row],[RESULTADO]]&lt;=2,"PROCESO",IF(T_GENERAL[[#This Row],[RESULTADO]]&lt;=3,"LOGRADO",""))))</f>
      </c>
      <c r="X17" s="3">
        <f>IF(T_GENERAL[[#This Row],[RESULTADO]]=0,"PENDIENTE","EJECUTADO")</f>
      </c>
    </row>
    <row r="18" ht="20" customHeight="1" spans="1:24" x14ac:dyDescent="0.25">
      <c r="A18" s="2" t="s">
        <v>40</v>
      </c>
      <c r="B18" s="3">
        <f>IF(ISBLANK(T_GENERAL[[#This Row],[Fecha_Visita]]),"",UPPER(TEXT(T_GENERAL[[#This Row],[Fecha_Visita]],"mmmm")))</f>
      </c>
      <c r="C18" s="4" t="s">
        <v>114</v>
      </c>
      <c r="D18" s="5" t="s">
        <v>115</v>
      </c>
      <c r="E18" s="6" t="s">
        <v>43</v>
      </c>
      <c r="F18" s="2" t="s">
        <v>27</v>
      </c>
      <c r="G18" s="2" t="s">
        <v>28</v>
      </c>
      <c r="H18" s="4" t="s">
        <v>79</v>
      </c>
      <c r="I18" s="6" t="s">
        <v>45</v>
      </c>
      <c r="J18" s="2" t="s">
        <v>46</v>
      </c>
      <c r="K18" s="6" t="s">
        <v>47</v>
      </c>
      <c r="L18" s="6" t="s">
        <v>116</v>
      </c>
      <c r="M18" s="4" t="s">
        <v>117</v>
      </c>
      <c r="N18" s="4" t="s">
        <v>118</v>
      </c>
      <c r="O18" s="2" t="s">
        <v>51</v>
      </c>
      <c r="P18" s="6" t="s">
        <v>119</v>
      </c>
      <c r="Q18" s="7">
        <f>IFERROR(INDEX(T_6_1[Promedio],MATCH(T_GENERAL[[#This Row],[Codigo_Local]],T_6_1[Codigo_Local],0)),0)</f>
      </c>
      <c r="R18" s="7">
        <f>IFERROR(INDEX(T_6_2[Promedio],MATCH(T_GENERAL[[#This Row],[Codigo_Local]],T_6_2[Codigo_Local],0)),0)</f>
      </c>
      <c r="S18" s="7">
        <f>IFERROR(INDEX(T_6_3[Promedio],MATCH(T_GENERAL[[#This Row],[Codigo_Local]],T_6_3[Codigo_Local],0)),0)</f>
      </c>
      <c r="T18" s="7">
        <f>IFERROR(INDEX(T_6_4[Promedio],MATCH(T_GENERAL[[#This Row],[Codigo_Local]],T_6_4[Codigo_Local],0)),0)</f>
      </c>
      <c r="U18" s="7">
        <f>IFERROR(INDEX(T_6_5[Promedio],MATCH(T_GENERAL[[#This Row],[Codigo_Local]],T_6_5[Codigo_Local],0)),0)</f>
      </c>
      <c r="V18" s="8">
        <f>AVERAGE(T_GENERAL[[#This Row],[CAT_6.1]],T_GENERAL[[#This Row],[CAT_6.2]],T_GENERAL[[#This Row],[CAT_6.3]],T_GENERAL[[#This Row],[CAT_6.4]],T_GENERAL[[#This Row],[CAT_6.5]])</f>
      </c>
      <c r="W18" s="9">
        <f>IF(T_GENERAL[[#This Row],[RESULTADO]]=0,"NO INICIÓ",IF(T_GENERAL[[#This Row],[RESULTADO]]&lt;=1,"INICIO",IF(T_GENERAL[[#This Row],[RESULTADO]]&lt;=2,"PROCESO",IF(T_GENERAL[[#This Row],[RESULTADO]]&lt;=3,"LOGRADO",""))))</f>
      </c>
      <c r="X18" s="3">
        <f>IF(T_GENERAL[[#This Row],[RESULTADO]]=0,"PENDIENTE","EJECUTADO")</f>
      </c>
    </row>
    <row r="19" ht="20" customHeight="1" spans="1:24" x14ac:dyDescent="0.25">
      <c r="A19" s="2" t="s">
        <v>40</v>
      </c>
      <c r="B19" s="3">
        <f>IF(ISBLANK(T_GENERAL[[#This Row],[Fecha_Visita]]),"",UPPER(TEXT(T_GENERAL[[#This Row],[Fecha_Visita]],"mmmm")))</f>
      </c>
      <c r="C19" s="4" t="s">
        <v>120</v>
      </c>
      <c r="D19" s="5" t="s">
        <v>121</v>
      </c>
      <c r="E19" s="6" t="s">
        <v>43</v>
      </c>
      <c r="F19" s="2" t="s">
        <v>27</v>
      </c>
      <c r="G19" s="2" t="s">
        <v>28</v>
      </c>
      <c r="H19" s="4" t="s">
        <v>79</v>
      </c>
      <c r="I19" s="6" t="s">
        <v>45</v>
      </c>
      <c r="J19" s="2" t="s">
        <v>46</v>
      </c>
      <c r="K19" s="6" t="s">
        <v>47</v>
      </c>
      <c r="L19" s="6" t="s">
        <v>122</v>
      </c>
      <c r="M19" s="4" t="s">
        <v>123</v>
      </c>
      <c r="N19" s="4" t="s">
        <v>124</v>
      </c>
      <c r="O19" s="2" t="s">
        <v>51</v>
      </c>
      <c r="P19" s="6" t="s">
        <v>125</v>
      </c>
      <c r="Q19" s="7">
        <f>IFERROR(INDEX(T_6_1[Promedio],MATCH(T_GENERAL[[#This Row],[Codigo_Local]],T_6_1[Codigo_Local],0)),0)</f>
      </c>
      <c r="R19" s="7">
        <f>IFERROR(INDEX(T_6_2[Promedio],MATCH(T_GENERAL[[#This Row],[Codigo_Local]],T_6_2[Codigo_Local],0)),0)</f>
      </c>
      <c r="S19" s="7">
        <f>IFERROR(INDEX(T_6_3[Promedio],MATCH(T_GENERAL[[#This Row],[Codigo_Local]],T_6_3[Codigo_Local],0)),0)</f>
      </c>
      <c r="T19" s="7">
        <f>IFERROR(INDEX(T_6_4[Promedio],MATCH(T_GENERAL[[#This Row],[Codigo_Local]],T_6_4[Codigo_Local],0)),0)</f>
      </c>
      <c r="U19" s="7">
        <f>IFERROR(INDEX(T_6_5[Promedio],MATCH(T_GENERAL[[#This Row],[Codigo_Local]],T_6_5[Codigo_Local],0)),0)</f>
      </c>
      <c r="V19" s="8">
        <f>AVERAGE(T_GENERAL[[#This Row],[CAT_6.1]],T_GENERAL[[#This Row],[CAT_6.2]],T_GENERAL[[#This Row],[CAT_6.3]],T_GENERAL[[#This Row],[CAT_6.4]],T_GENERAL[[#This Row],[CAT_6.5]])</f>
      </c>
      <c r="W19" s="9">
        <f>IF(T_GENERAL[[#This Row],[RESULTADO]]=0,"NO INICIÓ",IF(T_GENERAL[[#This Row],[RESULTADO]]&lt;=1,"INICIO",IF(T_GENERAL[[#This Row],[RESULTADO]]&lt;=2,"PROCESO",IF(T_GENERAL[[#This Row],[RESULTADO]]&lt;=3,"LOGRADO",""))))</f>
      </c>
      <c r="X19" s="3">
        <f>IF(T_GENERAL[[#This Row],[RESULTADO]]=0,"PENDIENTE","EJECUTADO")</f>
      </c>
    </row>
    <row r="20" ht="20" customHeight="1" spans="1:24" x14ac:dyDescent="0.25">
      <c r="A20" s="2" t="s">
        <v>40</v>
      </c>
      <c r="B20" s="3">
        <f>IF(ISBLANK(T_GENERAL[[#This Row],[Fecha_Visita]]),"",UPPER(TEXT(T_GENERAL[[#This Row],[Fecha_Visita]],"mmmm")))</f>
      </c>
      <c r="C20" s="4" t="s">
        <v>126</v>
      </c>
      <c r="D20" s="5" t="s">
        <v>127</v>
      </c>
      <c r="E20" s="6" t="s">
        <v>43</v>
      </c>
      <c r="F20" s="2" t="s">
        <v>27</v>
      </c>
      <c r="G20" s="2" t="s">
        <v>28</v>
      </c>
      <c r="H20" s="4" t="s">
        <v>79</v>
      </c>
      <c r="I20" s="6" t="s">
        <v>45</v>
      </c>
      <c r="J20" s="2" t="s">
        <v>46</v>
      </c>
      <c r="K20" s="6" t="s">
        <v>47</v>
      </c>
      <c r="L20" s="6" t="s">
        <v>128</v>
      </c>
      <c r="M20" s="4" t="s">
        <v>129</v>
      </c>
      <c r="N20" s="4" t="s">
        <v>130</v>
      </c>
      <c r="O20" s="2" t="s">
        <v>51</v>
      </c>
      <c r="P20" s="6" t="s">
        <v>131</v>
      </c>
      <c r="Q20" s="7">
        <f>IFERROR(INDEX(T_6_1[Promedio],MATCH(T_GENERAL[[#This Row],[Codigo_Local]],T_6_1[Codigo_Local],0)),0)</f>
      </c>
      <c r="R20" s="7">
        <f>IFERROR(INDEX(T_6_2[Promedio],MATCH(T_GENERAL[[#This Row],[Codigo_Local]],T_6_2[Codigo_Local],0)),0)</f>
      </c>
      <c r="S20" s="7">
        <f>IFERROR(INDEX(T_6_3[Promedio],MATCH(T_GENERAL[[#This Row],[Codigo_Local]],T_6_3[Codigo_Local],0)),0)</f>
      </c>
      <c r="T20" s="7">
        <f>IFERROR(INDEX(T_6_4[Promedio],MATCH(T_GENERAL[[#This Row],[Codigo_Local]],T_6_4[Codigo_Local],0)),0)</f>
      </c>
      <c r="U20" s="7">
        <f>IFERROR(INDEX(T_6_5[Promedio],MATCH(T_GENERAL[[#This Row],[Codigo_Local]],T_6_5[Codigo_Local],0)),0)</f>
      </c>
      <c r="V20" s="8">
        <f>AVERAGE(T_GENERAL[[#This Row],[CAT_6.1]],T_GENERAL[[#This Row],[CAT_6.2]],T_GENERAL[[#This Row],[CAT_6.3]],T_GENERAL[[#This Row],[CAT_6.4]],T_GENERAL[[#This Row],[CAT_6.5]])</f>
      </c>
      <c r="W20" s="9">
        <f>IF(T_GENERAL[[#This Row],[RESULTADO]]=0,"NO INICIÓ",IF(T_GENERAL[[#This Row],[RESULTADO]]&lt;=1,"INICIO",IF(T_GENERAL[[#This Row],[RESULTADO]]&lt;=2,"PROCESO",IF(T_GENERAL[[#This Row],[RESULTADO]]&lt;=3,"LOGRADO",""))))</f>
      </c>
      <c r="X20" s="3">
        <f>IF(T_GENERAL[[#This Row],[RESULTADO]]=0,"PENDIENTE","EJECUTADO")</f>
      </c>
    </row>
    <row r="21" ht="20" customHeight="1" spans="1:24" x14ac:dyDescent="0.25">
      <c r="A21" s="2" t="s">
        <v>40</v>
      </c>
      <c r="B21" s="3">
        <f>IF(ISBLANK(T_GENERAL[[#This Row],[Fecha_Visita]]),"",UPPER(TEXT(T_GENERAL[[#This Row],[Fecha_Visita]],"mmmm")))</f>
      </c>
      <c r="C21" s="4" t="s">
        <v>132</v>
      </c>
      <c r="D21" s="5" t="s">
        <v>133</v>
      </c>
      <c r="E21" s="6" t="s">
        <v>43</v>
      </c>
      <c r="F21" s="2" t="s">
        <v>27</v>
      </c>
      <c r="G21" s="2" t="s">
        <v>28</v>
      </c>
      <c r="H21" s="4" t="s">
        <v>79</v>
      </c>
      <c r="I21" s="6" t="s">
        <v>45</v>
      </c>
      <c r="J21" s="2" t="s">
        <v>46</v>
      </c>
      <c r="K21" s="6" t="s">
        <v>47</v>
      </c>
      <c r="L21" s="6" t="s">
        <v>134</v>
      </c>
      <c r="M21" s="4" t="s">
        <v>135</v>
      </c>
      <c r="N21" s="4" t="s">
        <v>136</v>
      </c>
      <c r="O21" s="2" t="s">
        <v>51</v>
      </c>
      <c r="P21" s="6" t="s">
        <v>137</v>
      </c>
      <c r="Q21" s="7">
        <f>IFERROR(INDEX(T_6_1[Promedio],MATCH(T_GENERAL[[#This Row],[Codigo_Local]],T_6_1[Codigo_Local],0)),0)</f>
      </c>
      <c r="R21" s="7">
        <f>IFERROR(INDEX(T_6_2[Promedio],MATCH(T_GENERAL[[#This Row],[Codigo_Local]],T_6_2[Codigo_Local],0)),0)</f>
      </c>
      <c r="S21" s="7">
        <f>IFERROR(INDEX(T_6_3[Promedio],MATCH(T_GENERAL[[#This Row],[Codigo_Local]],T_6_3[Codigo_Local],0)),0)</f>
      </c>
      <c r="T21" s="7">
        <f>IFERROR(INDEX(T_6_4[Promedio],MATCH(T_GENERAL[[#This Row],[Codigo_Local]],T_6_4[Codigo_Local],0)),0)</f>
      </c>
      <c r="U21" s="7">
        <f>IFERROR(INDEX(T_6_5[Promedio],MATCH(T_GENERAL[[#This Row],[Codigo_Local]],T_6_5[Codigo_Local],0)),0)</f>
      </c>
      <c r="V21" s="8">
        <f>AVERAGE(T_GENERAL[[#This Row],[CAT_6.1]],T_GENERAL[[#This Row],[CAT_6.2]],T_GENERAL[[#This Row],[CAT_6.3]],T_GENERAL[[#This Row],[CAT_6.4]],T_GENERAL[[#This Row],[CAT_6.5]])</f>
      </c>
      <c r="W21" s="9">
        <f>IF(T_GENERAL[[#This Row],[RESULTADO]]=0,"NO INICIÓ",IF(T_GENERAL[[#This Row],[RESULTADO]]&lt;=1,"INICIO",IF(T_GENERAL[[#This Row],[RESULTADO]]&lt;=2,"PROCESO",IF(T_GENERAL[[#This Row],[RESULTADO]]&lt;=3,"LOGRADO",""))))</f>
      </c>
      <c r="X21" s="3">
        <f>IF(T_GENERAL[[#This Row],[RESULTADO]]=0,"PENDIENTE","EJECUTADO")</f>
      </c>
    </row>
    <row r="22" ht="20" customHeight="1" spans="1:24" x14ac:dyDescent="0.25">
      <c r="A22" s="2" t="s">
        <v>40</v>
      </c>
      <c r="B22" s="3">
        <f>IF(ISBLANK(T_GENERAL[[#This Row],[Fecha_Visita]]),"",UPPER(TEXT(T_GENERAL[[#This Row],[Fecha_Visita]],"mmmm")))</f>
      </c>
      <c r="C22" s="4" t="s">
        <v>138</v>
      </c>
      <c r="D22" s="5" t="s">
        <v>139</v>
      </c>
      <c r="E22" s="6" t="s">
        <v>43</v>
      </c>
      <c r="F22" s="2" t="s">
        <v>27</v>
      </c>
      <c r="G22" s="2" t="s">
        <v>28</v>
      </c>
      <c r="H22" s="4" t="s">
        <v>79</v>
      </c>
      <c r="I22" s="6" t="s">
        <v>45</v>
      </c>
      <c r="J22" s="2" t="s">
        <v>46</v>
      </c>
      <c r="K22" s="6" t="s">
        <v>47</v>
      </c>
      <c r="L22" s="6" t="s">
        <v>140</v>
      </c>
      <c r="M22" s="4" t="s">
        <v>141</v>
      </c>
      <c r="N22" s="4" t="s">
        <v>142</v>
      </c>
      <c r="O22" s="2" t="s">
        <v>51</v>
      </c>
      <c r="P22" s="6" t="s">
        <v>143</v>
      </c>
      <c r="Q22" s="7">
        <f>IFERROR(INDEX(T_6_1[Promedio],MATCH(T_GENERAL[[#This Row],[Codigo_Local]],T_6_1[Codigo_Local],0)),0)</f>
      </c>
      <c r="R22" s="7">
        <f>IFERROR(INDEX(T_6_2[Promedio],MATCH(T_GENERAL[[#This Row],[Codigo_Local]],T_6_2[Codigo_Local],0)),0)</f>
      </c>
      <c r="S22" s="7">
        <f>IFERROR(INDEX(T_6_3[Promedio],MATCH(T_GENERAL[[#This Row],[Codigo_Local]],T_6_3[Codigo_Local],0)),0)</f>
      </c>
      <c r="T22" s="7">
        <f>IFERROR(INDEX(T_6_4[Promedio],MATCH(T_GENERAL[[#This Row],[Codigo_Local]],T_6_4[Codigo_Local],0)),0)</f>
      </c>
      <c r="U22" s="7">
        <f>IFERROR(INDEX(T_6_5[Promedio],MATCH(T_GENERAL[[#This Row],[Codigo_Local]],T_6_5[Codigo_Local],0)),0)</f>
      </c>
      <c r="V22" s="8">
        <f>AVERAGE(T_GENERAL[[#This Row],[CAT_6.1]],T_GENERAL[[#This Row],[CAT_6.2]],T_GENERAL[[#This Row],[CAT_6.3]],T_GENERAL[[#This Row],[CAT_6.4]],T_GENERAL[[#This Row],[CAT_6.5]])</f>
      </c>
      <c r="W22" s="9">
        <f>IF(T_GENERAL[[#This Row],[RESULTADO]]=0,"NO INICIÓ",IF(T_GENERAL[[#This Row],[RESULTADO]]&lt;=1,"INICIO",IF(T_GENERAL[[#This Row],[RESULTADO]]&lt;=2,"PROCESO",IF(T_GENERAL[[#This Row],[RESULTADO]]&lt;=3,"LOGRADO",""))))</f>
      </c>
      <c r="X22" s="3">
        <f>IF(T_GENERAL[[#This Row],[RESULTADO]]=0,"PENDIENTE","EJECUTADO")</f>
      </c>
    </row>
    <row r="23" ht="20" customHeight="1" spans="1:24" x14ac:dyDescent="0.25">
      <c r="A23" s="2" t="s">
        <v>40</v>
      </c>
      <c r="B23" s="3">
        <f>IF(ISBLANK(T_GENERAL[[#This Row],[Fecha_Visita]]),"",UPPER(TEXT(T_GENERAL[[#This Row],[Fecha_Visita]],"mmmm")))</f>
      </c>
      <c r="C23" s="4" t="s">
        <v>144</v>
      </c>
      <c r="D23" s="5" t="s">
        <v>145</v>
      </c>
      <c r="E23" s="6" t="s">
        <v>43</v>
      </c>
      <c r="F23" s="2" t="s">
        <v>27</v>
      </c>
      <c r="G23" s="2" t="s">
        <v>28</v>
      </c>
      <c r="H23" s="4" t="s">
        <v>146</v>
      </c>
      <c r="I23" s="6" t="s">
        <v>45</v>
      </c>
      <c r="J23" s="2" t="s">
        <v>46</v>
      </c>
      <c r="K23" s="6" t="s">
        <v>47</v>
      </c>
      <c r="L23" s="6" t="s">
        <v>147</v>
      </c>
      <c r="M23" s="4" t="s">
        <v>148</v>
      </c>
      <c r="N23" s="4" t="s">
        <v>149</v>
      </c>
      <c r="O23" s="2" t="s">
        <v>51</v>
      </c>
      <c r="P23" s="6" t="s">
        <v>150</v>
      </c>
      <c r="Q23" s="7">
        <f>IFERROR(INDEX(T_6_1[Promedio],MATCH(T_GENERAL[[#This Row],[Codigo_Local]],T_6_1[Codigo_Local],0)),0)</f>
      </c>
      <c r="R23" s="7">
        <f>IFERROR(INDEX(T_6_2[Promedio],MATCH(T_GENERAL[[#This Row],[Codigo_Local]],T_6_2[Codigo_Local],0)),0)</f>
      </c>
      <c r="S23" s="7">
        <f>IFERROR(INDEX(T_6_3[Promedio],MATCH(T_GENERAL[[#This Row],[Codigo_Local]],T_6_3[Codigo_Local],0)),0)</f>
      </c>
      <c r="T23" s="7">
        <f>IFERROR(INDEX(T_6_4[Promedio],MATCH(T_GENERAL[[#This Row],[Codigo_Local]],T_6_4[Codigo_Local],0)),0)</f>
      </c>
      <c r="U23" s="7">
        <f>IFERROR(INDEX(T_6_5[Promedio],MATCH(T_GENERAL[[#This Row],[Codigo_Local]],T_6_5[Codigo_Local],0)),0)</f>
      </c>
      <c r="V23" s="8">
        <f>AVERAGE(T_GENERAL[[#This Row],[CAT_6.1]],T_GENERAL[[#This Row],[CAT_6.2]],T_GENERAL[[#This Row],[CAT_6.3]],T_GENERAL[[#This Row],[CAT_6.4]],T_GENERAL[[#This Row],[CAT_6.5]])</f>
      </c>
      <c r="W23" s="9">
        <f>IF(T_GENERAL[[#This Row],[RESULTADO]]=0,"NO INICIÓ",IF(T_GENERAL[[#This Row],[RESULTADO]]&lt;=1,"INICIO",IF(T_GENERAL[[#This Row],[RESULTADO]]&lt;=2,"PROCESO",IF(T_GENERAL[[#This Row],[RESULTADO]]&lt;=3,"LOGRADO",""))))</f>
      </c>
      <c r="X23" s="3">
        <f>IF(T_GENERAL[[#This Row],[RESULTADO]]=0,"PENDIENTE","EJECUTADO")</f>
      </c>
    </row>
    <row r="24" ht="20" customHeight="1" spans="1:24" x14ac:dyDescent="0.25">
      <c r="A24" s="2" t="s">
        <v>40</v>
      </c>
      <c r="B24" s="3">
        <f>IF(ISBLANK(T_GENERAL[[#This Row],[Fecha_Visita]]),"",UPPER(TEXT(T_GENERAL[[#This Row],[Fecha_Visita]],"mmmm")))</f>
      </c>
      <c r="C24" s="4" t="s">
        <v>151</v>
      </c>
      <c r="D24" s="5" t="s">
        <v>152</v>
      </c>
      <c r="E24" s="6" t="s">
        <v>43</v>
      </c>
      <c r="F24" s="2" t="s">
        <v>27</v>
      </c>
      <c r="G24" s="2" t="s">
        <v>28</v>
      </c>
      <c r="H24" s="4" t="s">
        <v>146</v>
      </c>
      <c r="I24" s="6" t="s">
        <v>45</v>
      </c>
      <c r="J24" s="2" t="s">
        <v>46</v>
      </c>
      <c r="K24" s="6" t="s">
        <v>47</v>
      </c>
      <c r="L24" s="6" t="s">
        <v>153</v>
      </c>
      <c r="M24" s="4" t="s">
        <v>154</v>
      </c>
      <c r="N24" s="4" t="s">
        <v>155</v>
      </c>
      <c r="O24" s="2" t="s">
        <v>51</v>
      </c>
      <c r="P24" s="6" t="s">
        <v>156</v>
      </c>
      <c r="Q24" s="7">
        <f>IFERROR(INDEX(T_6_1[Promedio],MATCH(T_GENERAL[[#This Row],[Codigo_Local]],T_6_1[Codigo_Local],0)),0)</f>
      </c>
      <c r="R24" s="7">
        <f>IFERROR(INDEX(T_6_2[Promedio],MATCH(T_GENERAL[[#This Row],[Codigo_Local]],T_6_2[Codigo_Local],0)),0)</f>
      </c>
      <c r="S24" s="7">
        <f>IFERROR(INDEX(T_6_3[Promedio],MATCH(T_GENERAL[[#This Row],[Codigo_Local]],T_6_3[Codigo_Local],0)),0)</f>
      </c>
      <c r="T24" s="7">
        <f>IFERROR(INDEX(T_6_4[Promedio],MATCH(T_GENERAL[[#This Row],[Codigo_Local]],T_6_4[Codigo_Local],0)),0)</f>
      </c>
      <c r="U24" s="7">
        <f>IFERROR(INDEX(T_6_5[Promedio],MATCH(T_GENERAL[[#This Row],[Codigo_Local]],T_6_5[Codigo_Local],0)),0)</f>
      </c>
      <c r="V24" s="8">
        <f>AVERAGE(T_GENERAL[[#This Row],[CAT_6.1]],T_GENERAL[[#This Row],[CAT_6.2]],T_GENERAL[[#This Row],[CAT_6.3]],T_GENERAL[[#This Row],[CAT_6.4]],T_GENERAL[[#This Row],[CAT_6.5]])</f>
      </c>
      <c r="W24" s="9">
        <f>IF(T_GENERAL[[#This Row],[RESULTADO]]=0,"NO INICIÓ",IF(T_GENERAL[[#This Row],[RESULTADO]]&lt;=1,"INICIO",IF(T_GENERAL[[#This Row],[RESULTADO]]&lt;=2,"PROCESO",IF(T_GENERAL[[#This Row],[RESULTADO]]&lt;=3,"LOGRADO",""))))</f>
      </c>
      <c r="X24" s="3">
        <f>IF(T_GENERAL[[#This Row],[RESULTADO]]=0,"PENDIENTE","EJECUTADO")</f>
      </c>
    </row>
    <row r="25" ht="20" customHeight="1" spans="1:24" x14ac:dyDescent="0.25">
      <c r="A25" s="2" t="s">
        <v>40</v>
      </c>
      <c r="B25" s="3">
        <f>IF(ISBLANK(T_GENERAL[[#This Row],[Fecha_Visita]]),"",UPPER(TEXT(T_GENERAL[[#This Row],[Fecha_Visita]],"mmmm")))</f>
      </c>
      <c r="C25" s="4" t="s">
        <v>157</v>
      </c>
      <c r="D25" s="5" t="s">
        <v>158</v>
      </c>
      <c r="E25" s="6" t="s">
        <v>43</v>
      </c>
      <c r="F25" s="2" t="s">
        <v>27</v>
      </c>
      <c r="G25" s="2" t="s">
        <v>28</v>
      </c>
      <c r="H25" s="4" t="s">
        <v>146</v>
      </c>
      <c r="I25" s="6" t="s">
        <v>45</v>
      </c>
      <c r="J25" s="2" t="s">
        <v>46</v>
      </c>
      <c r="K25" s="6" t="s">
        <v>47</v>
      </c>
      <c r="L25" s="6" t="s">
        <v>159</v>
      </c>
      <c r="M25" s="4" t="s">
        <v>160</v>
      </c>
      <c r="N25" s="4" t="s">
        <v>161</v>
      </c>
      <c r="O25" s="2" t="s">
        <v>51</v>
      </c>
      <c r="P25" s="6" t="s">
        <v>162</v>
      </c>
      <c r="Q25" s="7">
        <f>IFERROR(INDEX(T_6_1[Promedio],MATCH(T_GENERAL[[#This Row],[Codigo_Local]],T_6_1[Codigo_Local],0)),0)</f>
      </c>
      <c r="R25" s="7">
        <f>IFERROR(INDEX(T_6_2[Promedio],MATCH(T_GENERAL[[#This Row],[Codigo_Local]],T_6_2[Codigo_Local],0)),0)</f>
      </c>
      <c r="S25" s="7">
        <f>IFERROR(INDEX(T_6_3[Promedio],MATCH(T_GENERAL[[#This Row],[Codigo_Local]],T_6_3[Codigo_Local],0)),0)</f>
      </c>
      <c r="T25" s="7">
        <f>IFERROR(INDEX(T_6_4[Promedio],MATCH(T_GENERAL[[#This Row],[Codigo_Local]],T_6_4[Codigo_Local],0)),0)</f>
      </c>
      <c r="U25" s="7">
        <f>IFERROR(INDEX(T_6_5[Promedio],MATCH(T_GENERAL[[#This Row],[Codigo_Local]],T_6_5[Codigo_Local],0)),0)</f>
      </c>
      <c r="V25" s="8">
        <f>AVERAGE(T_GENERAL[[#This Row],[CAT_6.1]],T_GENERAL[[#This Row],[CAT_6.2]],T_GENERAL[[#This Row],[CAT_6.3]],T_GENERAL[[#This Row],[CAT_6.4]],T_GENERAL[[#This Row],[CAT_6.5]])</f>
      </c>
      <c r="W25" s="9">
        <f>IF(T_GENERAL[[#This Row],[RESULTADO]]=0,"NO INICIÓ",IF(T_GENERAL[[#This Row],[RESULTADO]]&lt;=1,"INICIO",IF(T_GENERAL[[#This Row],[RESULTADO]]&lt;=2,"PROCESO",IF(T_GENERAL[[#This Row],[RESULTADO]]&lt;=3,"LOGRADO",""))))</f>
      </c>
      <c r="X25" s="3">
        <f>IF(T_GENERAL[[#This Row],[RESULTADO]]=0,"PENDIENTE","EJECUTADO")</f>
      </c>
    </row>
    <row r="26" ht="20" customHeight="1" spans="1:24" x14ac:dyDescent="0.25">
      <c r="A26" s="2" t="s">
        <v>40</v>
      </c>
      <c r="B26" s="3">
        <f>IF(ISBLANK(T_GENERAL[[#This Row],[Fecha_Visita]]),"",UPPER(TEXT(T_GENERAL[[#This Row],[Fecha_Visita]],"mmmm")))</f>
      </c>
      <c r="C26" s="4" t="s">
        <v>163</v>
      </c>
      <c r="D26" s="5" t="s">
        <v>164</v>
      </c>
      <c r="E26" s="6" t="s">
        <v>43</v>
      </c>
      <c r="F26" s="2" t="s">
        <v>27</v>
      </c>
      <c r="G26" s="2" t="s">
        <v>28</v>
      </c>
      <c r="H26" s="4" t="s">
        <v>146</v>
      </c>
      <c r="I26" s="6" t="s">
        <v>45</v>
      </c>
      <c r="J26" s="2" t="s">
        <v>46</v>
      </c>
      <c r="K26" s="6" t="s">
        <v>47</v>
      </c>
      <c r="L26" s="6" t="s">
        <v>165</v>
      </c>
      <c r="M26" s="4" t="s">
        <v>166</v>
      </c>
      <c r="N26" s="4" t="s">
        <v>167</v>
      </c>
      <c r="O26" s="2" t="s">
        <v>51</v>
      </c>
      <c r="P26" s="6" t="s">
        <v>168</v>
      </c>
      <c r="Q26" s="7">
        <f>IFERROR(INDEX(T_6_1[Promedio],MATCH(T_GENERAL[[#This Row],[Codigo_Local]],T_6_1[Codigo_Local],0)),0)</f>
      </c>
      <c r="R26" s="7">
        <f>IFERROR(INDEX(T_6_2[Promedio],MATCH(T_GENERAL[[#This Row],[Codigo_Local]],T_6_2[Codigo_Local],0)),0)</f>
      </c>
      <c r="S26" s="7">
        <f>IFERROR(INDEX(T_6_3[Promedio],MATCH(T_GENERAL[[#This Row],[Codigo_Local]],T_6_3[Codigo_Local],0)),0)</f>
      </c>
      <c r="T26" s="7">
        <f>IFERROR(INDEX(T_6_4[Promedio],MATCH(T_GENERAL[[#This Row],[Codigo_Local]],T_6_4[Codigo_Local],0)),0)</f>
      </c>
      <c r="U26" s="7">
        <f>IFERROR(INDEX(T_6_5[Promedio],MATCH(T_GENERAL[[#This Row],[Codigo_Local]],T_6_5[Codigo_Local],0)),0)</f>
      </c>
      <c r="V26" s="8">
        <f>AVERAGE(T_GENERAL[[#This Row],[CAT_6.1]],T_GENERAL[[#This Row],[CAT_6.2]],T_GENERAL[[#This Row],[CAT_6.3]],T_GENERAL[[#This Row],[CAT_6.4]],T_GENERAL[[#This Row],[CAT_6.5]])</f>
      </c>
      <c r="W26" s="9">
        <f>IF(T_GENERAL[[#This Row],[RESULTADO]]=0,"NO INICIÓ",IF(T_GENERAL[[#This Row],[RESULTADO]]&lt;=1,"INICIO",IF(T_GENERAL[[#This Row],[RESULTADO]]&lt;=2,"PROCESO",IF(T_GENERAL[[#This Row],[RESULTADO]]&lt;=3,"LOGRADO",""))))</f>
      </c>
      <c r="X26" s="3">
        <f>IF(T_GENERAL[[#This Row],[RESULTADO]]=0,"PENDIENTE","EJECUTADO")</f>
      </c>
    </row>
    <row r="27" ht="20" customHeight="1" spans="1:24" x14ac:dyDescent="0.25">
      <c r="A27" s="2" t="s">
        <v>40</v>
      </c>
      <c r="B27" s="3">
        <f>IF(ISBLANK(T_GENERAL[[#This Row],[Fecha_Visita]]),"",UPPER(TEXT(T_GENERAL[[#This Row],[Fecha_Visita]],"mmmm")))</f>
      </c>
      <c r="C27" s="4" t="s">
        <v>169</v>
      </c>
      <c r="D27" s="5" t="s">
        <v>170</v>
      </c>
      <c r="E27" s="6" t="s">
        <v>43</v>
      </c>
      <c r="F27" s="2" t="s">
        <v>27</v>
      </c>
      <c r="G27" s="2" t="s">
        <v>28</v>
      </c>
      <c r="H27" s="4" t="s">
        <v>146</v>
      </c>
      <c r="I27" s="6" t="s">
        <v>45</v>
      </c>
      <c r="J27" s="2" t="s">
        <v>46</v>
      </c>
      <c r="K27" s="6" t="s">
        <v>47</v>
      </c>
      <c r="L27" s="6" t="s">
        <v>171</v>
      </c>
      <c r="M27" s="4" t="s">
        <v>172</v>
      </c>
      <c r="N27" s="4" t="s">
        <v>173</v>
      </c>
      <c r="O27" s="2" t="s">
        <v>51</v>
      </c>
      <c r="P27" s="6" t="s">
        <v>174</v>
      </c>
      <c r="Q27" s="7">
        <f>IFERROR(INDEX(T_6_1[Promedio],MATCH(T_GENERAL[[#This Row],[Codigo_Local]],T_6_1[Codigo_Local],0)),0)</f>
      </c>
      <c r="R27" s="7">
        <f>IFERROR(INDEX(T_6_2[Promedio],MATCH(T_GENERAL[[#This Row],[Codigo_Local]],T_6_2[Codigo_Local],0)),0)</f>
      </c>
      <c r="S27" s="7">
        <f>IFERROR(INDEX(T_6_3[Promedio],MATCH(T_GENERAL[[#This Row],[Codigo_Local]],T_6_3[Codigo_Local],0)),0)</f>
      </c>
      <c r="T27" s="7">
        <f>IFERROR(INDEX(T_6_4[Promedio],MATCH(T_GENERAL[[#This Row],[Codigo_Local]],T_6_4[Codigo_Local],0)),0)</f>
      </c>
      <c r="U27" s="7">
        <f>IFERROR(INDEX(T_6_5[Promedio],MATCH(T_GENERAL[[#This Row],[Codigo_Local]],T_6_5[Codigo_Local],0)),0)</f>
      </c>
      <c r="V27" s="8">
        <f>AVERAGE(T_GENERAL[[#This Row],[CAT_6.1]],T_GENERAL[[#This Row],[CAT_6.2]],T_GENERAL[[#This Row],[CAT_6.3]],T_GENERAL[[#This Row],[CAT_6.4]],T_GENERAL[[#This Row],[CAT_6.5]])</f>
      </c>
      <c r="W27" s="9">
        <f>IF(T_GENERAL[[#This Row],[RESULTADO]]=0,"NO INICIÓ",IF(T_GENERAL[[#This Row],[RESULTADO]]&lt;=1,"INICIO",IF(T_GENERAL[[#This Row],[RESULTADO]]&lt;=2,"PROCESO",IF(T_GENERAL[[#This Row],[RESULTADO]]&lt;=3,"LOGRADO",""))))</f>
      </c>
      <c r="X27" s="3">
        <f>IF(T_GENERAL[[#This Row],[RESULTADO]]=0,"PENDIENTE","EJECUTADO")</f>
      </c>
    </row>
    <row r="28" ht="20" customHeight="1" spans="1:24" x14ac:dyDescent="0.25">
      <c r="A28" s="2" t="s">
        <v>40</v>
      </c>
      <c r="B28" s="3">
        <f>IF(ISBLANK(T_GENERAL[[#This Row],[Fecha_Visita]]),"",UPPER(TEXT(T_GENERAL[[#This Row],[Fecha_Visita]],"mmmm")))</f>
      </c>
      <c r="C28" s="4" t="s">
        <v>175</v>
      </c>
      <c r="D28" s="5" t="s">
        <v>176</v>
      </c>
      <c r="E28" s="6" t="s">
        <v>43</v>
      </c>
      <c r="F28" s="2" t="s">
        <v>27</v>
      </c>
      <c r="G28" s="2" t="s">
        <v>28</v>
      </c>
      <c r="H28" s="4" t="s">
        <v>177</v>
      </c>
      <c r="I28" s="6" t="s">
        <v>45</v>
      </c>
      <c r="J28" s="2" t="s">
        <v>46</v>
      </c>
      <c r="K28" s="6" t="s">
        <v>47</v>
      </c>
      <c r="L28" s="6" t="s">
        <v>178</v>
      </c>
      <c r="M28" s="4" t="s">
        <v>179</v>
      </c>
      <c r="N28" s="4" t="s">
        <v>180</v>
      </c>
      <c r="O28" s="2" t="s">
        <v>51</v>
      </c>
      <c r="P28" s="6" t="s">
        <v>181</v>
      </c>
      <c r="Q28" s="7">
        <f>IFERROR(INDEX(T_6_1[Promedio],MATCH(T_GENERAL[[#This Row],[Codigo_Local]],T_6_1[Codigo_Local],0)),0)</f>
      </c>
      <c r="R28" s="7">
        <f>IFERROR(INDEX(T_6_2[Promedio],MATCH(T_GENERAL[[#This Row],[Codigo_Local]],T_6_2[Codigo_Local],0)),0)</f>
      </c>
      <c r="S28" s="7">
        <f>IFERROR(INDEX(T_6_3[Promedio],MATCH(T_GENERAL[[#This Row],[Codigo_Local]],T_6_3[Codigo_Local],0)),0)</f>
      </c>
      <c r="T28" s="7">
        <f>IFERROR(INDEX(T_6_4[Promedio],MATCH(T_GENERAL[[#This Row],[Codigo_Local]],T_6_4[Codigo_Local],0)),0)</f>
      </c>
      <c r="U28" s="7">
        <f>IFERROR(INDEX(T_6_5[Promedio],MATCH(T_GENERAL[[#This Row],[Codigo_Local]],T_6_5[Codigo_Local],0)),0)</f>
      </c>
      <c r="V28" s="8">
        <f>AVERAGE(T_GENERAL[[#This Row],[CAT_6.1]],T_GENERAL[[#This Row],[CAT_6.2]],T_GENERAL[[#This Row],[CAT_6.3]],T_GENERAL[[#This Row],[CAT_6.4]],T_GENERAL[[#This Row],[CAT_6.5]])</f>
      </c>
      <c r="W28" s="9">
        <f>IF(T_GENERAL[[#This Row],[RESULTADO]]=0,"NO INICIÓ",IF(T_GENERAL[[#This Row],[RESULTADO]]&lt;=1,"INICIO",IF(T_GENERAL[[#This Row],[RESULTADO]]&lt;=2,"PROCESO",IF(T_GENERAL[[#This Row],[RESULTADO]]&lt;=3,"LOGRADO",""))))</f>
      </c>
      <c r="X28" s="3">
        <f>IF(T_GENERAL[[#This Row],[RESULTADO]]=0,"PENDIENTE","EJECUTADO")</f>
      </c>
    </row>
    <row r="29" ht="20" customHeight="1" spans="1:24" x14ac:dyDescent="0.25">
      <c r="A29" s="2" t="s">
        <v>40</v>
      </c>
      <c r="B29" s="3">
        <f>IF(ISBLANK(T_GENERAL[[#This Row],[Fecha_Visita]]),"",UPPER(TEXT(T_GENERAL[[#This Row],[Fecha_Visita]],"mmmm")))</f>
      </c>
      <c r="C29" s="4" t="s">
        <v>182</v>
      </c>
      <c r="D29" s="5" t="s">
        <v>183</v>
      </c>
      <c r="E29" s="6" t="s">
        <v>43</v>
      </c>
      <c r="F29" s="2" t="s">
        <v>27</v>
      </c>
      <c r="G29" s="2" t="s">
        <v>28</v>
      </c>
      <c r="H29" s="4" t="s">
        <v>177</v>
      </c>
      <c r="I29" s="6" t="s">
        <v>45</v>
      </c>
      <c r="J29" s="2" t="s">
        <v>46</v>
      </c>
      <c r="K29" s="6" t="s">
        <v>47</v>
      </c>
      <c r="L29" s="6" t="s">
        <v>184</v>
      </c>
      <c r="M29" s="4" t="s">
        <v>185</v>
      </c>
      <c r="N29" s="4" t="s">
        <v>186</v>
      </c>
      <c r="O29" s="2" t="s">
        <v>51</v>
      </c>
      <c r="P29" s="6" t="s">
        <v>187</v>
      </c>
      <c r="Q29" s="7">
        <f>IFERROR(INDEX(T_6_1[Promedio],MATCH(T_GENERAL[[#This Row],[Codigo_Local]],T_6_1[Codigo_Local],0)),0)</f>
      </c>
      <c r="R29" s="7">
        <f>IFERROR(INDEX(T_6_2[Promedio],MATCH(T_GENERAL[[#This Row],[Codigo_Local]],T_6_2[Codigo_Local],0)),0)</f>
      </c>
      <c r="S29" s="7">
        <f>IFERROR(INDEX(T_6_3[Promedio],MATCH(T_GENERAL[[#This Row],[Codigo_Local]],T_6_3[Codigo_Local],0)),0)</f>
      </c>
      <c r="T29" s="7">
        <f>IFERROR(INDEX(T_6_4[Promedio],MATCH(T_GENERAL[[#This Row],[Codigo_Local]],T_6_4[Codigo_Local],0)),0)</f>
      </c>
      <c r="U29" s="7">
        <f>IFERROR(INDEX(T_6_5[Promedio],MATCH(T_GENERAL[[#This Row],[Codigo_Local]],T_6_5[Codigo_Local],0)),0)</f>
      </c>
      <c r="V29" s="8">
        <f>AVERAGE(T_GENERAL[[#This Row],[CAT_6.1]],T_GENERAL[[#This Row],[CAT_6.2]],T_GENERAL[[#This Row],[CAT_6.3]],T_GENERAL[[#This Row],[CAT_6.4]],T_GENERAL[[#This Row],[CAT_6.5]])</f>
      </c>
      <c r="W29" s="9">
        <f>IF(T_GENERAL[[#This Row],[RESULTADO]]=0,"NO INICIÓ",IF(T_GENERAL[[#This Row],[RESULTADO]]&lt;=1,"INICIO",IF(T_GENERAL[[#This Row],[RESULTADO]]&lt;=2,"PROCESO",IF(T_GENERAL[[#This Row],[RESULTADO]]&lt;=3,"LOGRADO",""))))</f>
      </c>
      <c r="X29" s="3">
        <f>IF(T_GENERAL[[#This Row],[RESULTADO]]=0,"PENDIENTE","EJECUTADO")</f>
      </c>
    </row>
    <row r="30" ht="20" customHeight="1" spans="1:24" x14ac:dyDescent="0.25">
      <c r="A30" s="2" t="s">
        <v>40</v>
      </c>
      <c r="B30" s="3">
        <f>IF(ISBLANK(T_GENERAL[[#This Row],[Fecha_Visita]]),"",UPPER(TEXT(T_GENERAL[[#This Row],[Fecha_Visita]],"mmmm")))</f>
      </c>
      <c r="C30" s="4" t="s">
        <v>188</v>
      </c>
      <c r="D30" s="5" t="s">
        <v>189</v>
      </c>
      <c r="E30" s="6" t="s">
        <v>43</v>
      </c>
      <c r="F30" s="2" t="s">
        <v>27</v>
      </c>
      <c r="G30" s="2" t="s">
        <v>28</v>
      </c>
      <c r="H30" s="4" t="s">
        <v>177</v>
      </c>
      <c r="I30" s="6" t="s">
        <v>45</v>
      </c>
      <c r="J30" s="2" t="s">
        <v>46</v>
      </c>
      <c r="K30" s="6" t="s">
        <v>47</v>
      </c>
      <c r="L30" s="6" t="s">
        <v>190</v>
      </c>
      <c r="M30" s="4" t="s">
        <v>191</v>
      </c>
      <c r="N30" s="4" t="s">
        <v>192</v>
      </c>
      <c r="O30" s="2" t="s">
        <v>51</v>
      </c>
      <c r="P30" s="6" t="s">
        <v>193</v>
      </c>
      <c r="Q30" s="7">
        <f>IFERROR(INDEX(T_6_1[Promedio],MATCH(T_GENERAL[[#This Row],[Codigo_Local]],T_6_1[Codigo_Local],0)),0)</f>
      </c>
      <c r="R30" s="7">
        <f>IFERROR(INDEX(T_6_2[Promedio],MATCH(T_GENERAL[[#This Row],[Codigo_Local]],T_6_2[Codigo_Local],0)),0)</f>
      </c>
      <c r="S30" s="7">
        <f>IFERROR(INDEX(T_6_3[Promedio],MATCH(T_GENERAL[[#This Row],[Codigo_Local]],T_6_3[Codigo_Local],0)),0)</f>
      </c>
      <c r="T30" s="7">
        <f>IFERROR(INDEX(T_6_4[Promedio],MATCH(T_GENERAL[[#This Row],[Codigo_Local]],T_6_4[Codigo_Local],0)),0)</f>
      </c>
      <c r="U30" s="7">
        <f>IFERROR(INDEX(T_6_5[Promedio],MATCH(T_GENERAL[[#This Row],[Codigo_Local]],T_6_5[Codigo_Local],0)),0)</f>
      </c>
      <c r="V30" s="8">
        <f>AVERAGE(T_GENERAL[[#This Row],[CAT_6.1]],T_GENERAL[[#This Row],[CAT_6.2]],T_GENERAL[[#This Row],[CAT_6.3]],T_GENERAL[[#This Row],[CAT_6.4]],T_GENERAL[[#This Row],[CAT_6.5]])</f>
      </c>
      <c r="W30" s="9">
        <f>IF(T_GENERAL[[#This Row],[RESULTADO]]=0,"NO INICIÓ",IF(T_GENERAL[[#This Row],[RESULTADO]]&lt;=1,"INICIO",IF(T_GENERAL[[#This Row],[RESULTADO]]&lt;=2,"PROCESO",IF(T_GENERAL[[#This Row],[RESULTADO]]&lt;=3,"LOGRADO",""))))</f>
      </c>
      <c r="X30" s="3">
        <f>IF(T_GENERAL[[#This Row],[RESULTADO]]=0,"PENDIENTE","EJECUTADO")</f>
      </c>
    </row>
    <row r="31" ht="20" customHeight="1" spans="1:24" x14ac:dyDescent="0.25">
      <c r="A31" s="2" t="s">
        <v>40</v>
      </c>
      <c r="B31" s="3">
        <f>IF(ISBLANK(T_GENERAL[[#This Row],[Fecha_Visita]]),"",UPPER(TEXT(T_GENERAL[[#This Row],[Fecha_Visita]],"mmmm")))</f>
      </c>
      <c r="C31" s="4" t="s">
        <v>194</v>
      </c>
      <c r="D31" s="5" t="s">
        <v>195</v>
      </c>
      <c r="E31" s="6" t="s">
        <v>43</v>
      </c>
      <c r="F31" s="2" t="s">
        <v>27</v>
      </c>
      <c r="G31" s="2" t="s">
        <v>28</v>
      </c>
      <c r="H31" s="4" t="s">
        <v>196</v>
      </c>
      <c r="I31" s="6" t="s">
        <v>45</v>
      </c>
      <c r="J31" s="2" t="s">
        <v>46</v>
      </c>
      <c r="K31" s="6" t="s">
        <v>47</v>
      </c>
      <c r="L31" s="6" t="s">
        <v>197</v>
      </c>
      <c r="M31" s="4" t="s">
        <v>198</v>
      </c>
      <c r="N31" s="4" t="s">
        <v>199</v>
      </c>
      <c r="O31" s="2" t="s">
        <v>51</v>
      </c>
      <c r="P31" s="6" t="s">
        <v>200</v>
      </c>
      <c r="Q31" s="7">
        <f>IFERROR(INDEX(T_6_1[Promedio],MATCH(T_GENERAL[[#This Row],[Codigo_Local]],T_6_1[Codigo_Local],0)),0)</f>
      </c>
      <c r="R31" s="7">
        <f>IFERROR(INDEX(T_6_2[Promedio],MATCH(T_GENERAL[[#This Row],[Codigo_Local]],T_6_2[Codigo_Local],0)),0)</f>
      </c>
      <c r="S31" s="7">
        <f>IFERROR(INDEX(T_6_3[Promedio],MATCH(T_GENERAL[[#This Row],[Codigo_Local]],T_6_3[Codigo_Local],0)),0)</f>
      </c>
      <c r="T31" s="7">
        <f>IFERROR(INDEX(T_6_4[Promedio],MATCH(T_GENERAL[[#This Row],[Codigo_Local]],T_6_4[Codigo_Local],0)),0)</f>
      </c>
      <c r="U31" s="7">
        <f>IFERROR(INDEX(T_6_5[Promedio],MATCH(T_GENERAL[[#This Row],[Codigo_Local]],T_6_5[Codigo_Local],0)),0)</f>
      </c>
      <c r="V31" s="8">
        <f>AVERAGE(T_GENERAL[[#This Row],[CAT_6.1]],T_GENERAL[[#This Row],[CAT_6.2]],T_GENERAL[[#This Row],[CAT_6.3]],T_GENERAL[[#This Row],[CAT_6.4]],T_GENERAL[[#This Row],[CAT_6.5]])</f>
      </c>
      <c r="W31" s="9">
        <f>IF(T_GENERAL[[#This Row],[RESULTADO]]=0,"NO INICIÓ",IF(T_GENERAL[[#This Row],[RESULTADO]]&lt;=1,"INICIO",IF(T_GENERAL[[#This Row],[RESULTADO]]&lt;=2,"PROCESO",IF(T_GENERAL[[#This Row],[RESULTADO]]&lt;=3,"LOGRADO",""))))</f>
      </c>
      <c r="X31" s="3">
        <f>IF(T_GENERAL[[#This Row],[RESULTADO]]=0,"PENDIENTE","EJECUTADO")</f>
      </c>
    </row>
    <row r="32" ht="20" customHeight="1" spans="1:24" x14ac:dyDescent="0.25">
      <c r="A32" s="2" t="s">
        <v>40</v>
      </c>
      <c r="B32" s="3">
        <f>IF(ISBLANK(T_GENERAL[[#This Row],[Fecha_Visita]]),"",UPPER(TEXT(T_GENERAL[[#This Row],[Fecha_Visita]],"mmmm")))</f>
      </c>
      <c r="C32" s="4" t="s">
        <v>201</v>
      </c>
      <c r="D32" s="5" t="s">
        <v>202</v>
      </c>
      <c r="E32" s="6" t="s">
        <v>43</v>
      </c>
      <c r="F32" s="2" t="s">
        <v>27</v>
      </c>
      <c r="G32" s="2" t="s">
        <v>28</v>
      </c>
      <c r="H32" s="4" t="s">
        <v>196</v>
      </c>
      <c r="I32" s="6" t="s">
        <v>45</v>
      </c>
      <c r="J32" s="2" t="s">
        <v>46</v>
      </c>
      <c r="K32" s="6" t="s">
        <v>47</v>
      </c>
      <c r="L32" s="6" t="s">
        <v>203</v>
      </c>
      <c r="M32" s="4" t="s">
        <v>204</v>
      </c>
      <c r="N32" s="4" t="s">
        <v>205</v>
      </c>
      <c r="O32" s="2" t="s">
        <v>51</v>
      </c>
      <c r="P32" s="6" t="s">
        <v>206</v>
      </c>
      <c r="Q32" s="7">
        <f>IFERROR(INDEX(T_6_1[Promedio],MATCH(T_GENERAL[[#This Row],[Codigo_Local]],T_6_1[Codigo_Local],0)),0)</f>
      </c>
      <c r="R32" s="7">
        <f>IFERROR(INDEX(T_6_2[Promedio],MATCH(T_GENERAL[[#This Row],[Codigo_Local]],T_6_2[Codigo_Local],0)),0)</f>
      </c>
      <c r="S32" s="7">
        <f>IFERROR(INDEX(T_6_3[Promedio],MATCH(T_GENERAL[[#This Row],[Codigo_Local]],T_6_3[Codigo_Local],0)),0)</f>
      </c>
      <c r="T32" s="7">
        <f>IFERROR(INDEX(T_6_4[Promedio],MATCH(T_GENERAL[[#This Row],[Codigo_Local]],T_6_4[Codigo_Local],0)),0)</f>
      </c>
      <c r="U32" s="7">
        <f>IFERROR(INDEX(T_6_5[Promedio],MATCH(T_GENERAL[[#This Row],[Codigo_Local]],T_6_5[Codigo_Local],0)),0)</f>
      </c>
      <c r="V32" s="8">
        <f>AVERAGE(T_GENERAL[[#This Row],[CAT_6.1]],T_GENERAL[[#This Row],[CAT_6.2]],T_GENERAL[[#This Row],[CAT_6.3]],T_GENERAL[[#This Row],[CAT_6.4]],T_GENERAL[[#This Row],[CAT_6.5]])</f>
      </c>
      <c r="W32" s="9">
        <f>IF(T_GENERAL[[#This Row],[RESULTADO]]=0,"NO INICIÓ",IF(T_GENERAL[[#This Row],[RESULTADO]]&lt;=1,"INICIO",IF(T_GENERAL[[#This Row],[RESULTADO]]&lt;=2,"PROCESO",IF(T_GENERAL[[#This Row],[RESULTADO]]&lt;=3,"LOGRADO",""))))</f>
      </c>
      <c r="X32" s="3">
        <f>IF(T_GENERAL[[#This Row],[RESULTADO]]=0,"PENDIENTE","EJECUTADO")</f>
      </c>
    </row>
    <row r="33" ht="20" customHeight="1" spans="1:24" x14ac:dyDescent="0.25">
      <c r="A33" s="2" t="s">
        <v>40</v>
      </c>
      <c r="B33" s="3">
        <f>IF(ISBLANK(T_GENERAL[[#This Row],[Fecha_Visita]]),"",UPPER(TEXT(T_GENERAL[[#This Row],[Fecha_Visita]],"mmmm")))</f>
      </c>
      <c r="C33" s="4" t="s">
        <v>207</v>
      </c>
      <c r="D33" s="5" t="s">
        <v>208</v>
      </c>
      <c r="E33" s="6" t="s">
        <v>43</v>
      </c>
      <c r="F33" s="2" t="s">
        <v>27</v>
      </c>
      <c r="G33" s="2" t="s">
        <v>28</v>
      </c>
      <c r="H33" s="4" t="s">
        <v>196</v>
      </c>
      <c r="I33" s="6" t="s">
        <v>45</v>
      </c>
      <c r="J33" s="2" t="s">
        <v>46</v>
      </c>
      <c r="K33" s="6" t="s">
        <v>47</v>
      </c>
      <c r="L33" s="6" t="s">
        <v>209</v>
      </c>
      <c r="M33" s="4" t="s">
        <v>210</v>
      </c>
      <c r="N33" s="4" t="s">
        <v>211</v>
      </c>
      <c r="O33" s="2" t="s">
        <v>51</v>
      </c>
      <c r="P33" s="6" t="s">
        <v>212</v>
      </c>
      <c r="Q33" s="7">
        <f>IFERROR(INDEX(T_6_1[Promedio],MATCH(T_GENERAL[[#This Row],[Codigo_Local]],T_6_1[Codigo_Local],0)),0)</f>
      </c>
      <c r="R33" s="7">
        <f>IFERROR(INDEX(T_6_2[Promedio],MATCH(T_GENERAL[[#This Row],[Codigo_Local]],T_6_2[Codigo_Local],0)),0)</f>
      </c>
      <c r="S33" s="7">
        <f>IFERROR(INDEX(T_6_3[Promedio],MATCH(T_GENERAL[[#This Row],[Codigo_Local]],T_6_3[Codigo_Local],0)),0)</f>
      </c>
      <c r="T33" s="7">
        <f>IFERROR(INDEX(T_6_4[Promedio],MATCH(T_GENERAL[[#This Row],[Codigo_Local]],T_6_4[Codigo_Local],0)),0)</f>
      </c>
      <c r="U33" s="7">
        <f>IFERROR(INDEX(T_6_5[Promedio],MATCH(T_GENERAL[[#This Row],[Codigo_Local]],T_6_5[Codigo_Local],0)),0)</f>
      </c>
      <c r="V33" s="8">
        <f>AVERAGE(T_GENERAL[[#This Row],[CAT_6.1]],T_GENERAL[[#This Row],[CAT_6.2]],T_GENERAL[[#This Row],[CAT_6.3]],T_GENERAL[[#This Row],[CAT_6.4]],T_GENERAL[[#This Row],[CAT_6.5]])</f>
      </c>
      <c r="W33" s="9">
        <f>IF(T_GENERAL[[#This Row],[RESULTADO]]=0,"NO INICIÓ",IF(T_GENERAL[[#This Row],[RESULTADO]]&lt;=1,"INICIO",IF(T_GENERAL[[#This Row],[RESULTADO]]&lt;=2,"PROCESO",IF(T_GENERAL[[#This Row],[RESULTADO]]&lt;=3,"LOGRADO",""))))</f>
      </c>
      <c r="X33" s="3">
        <f>IF(T_GENERAL[[#This Row],[RESULTADO]]=0,"PENDIENTE","EJECUTADO")</f>
      </c>
    </row>
    <row r="34" ht="20" customHeight="1" spans="1:24" x14ac:dyDescent="0.25">
      <c r="A34" s="2" t="s">
        <v>40</v>
      </c>
      <c r="B34" s="3">
        <f>IF(ISBLANK(T_GENERAL[[#This Row],[Fecha_Visita]]),"",UPPER(TEXT(T_GENERAL[[#This Row],[Fecha_Visita]],"mmmm")))</f>
      </c>
      <c r="C34" s="4" t="s">
        <v>213</v>
      </c>
      <c r="D34" s="5" t="s">
        <v>214</v>
      </c>
      <c r="E34" s="6" t="s">
        <v>43</v>
      </c>
      <c r="F34" s="2" t="s">
        <v>27</v>
      </c>
      <c r="G34" s="2" t="s">
        <v>28</v>
      </c>
      <c r="H34" s="4" t="s">
        <v>196</v>
      </c>
      <c r="I34" s="6" t="s">
        <v>45</v>
      </c>
      <c r="J34" s="2" t="s">
        <v>46</v>
      </c>
      <c r="K34" s="6" t="s">
        <v>47</v>
      </c>
      <c r="L34" s="6" t="s">
        <v>215</v>
      </c>
      <c r="M34" s="4" t="s">
        <v>216</v>
      </c>
      <c r="N34" s="4" t="s">
        <v>217</v>
      </c>
      <c r="O34" s="2" t="s">
        <v>51</v>
      </c>
      <c r="P34" s="6" t="s">
        <v>218</v>
      </c>
      <c r="Q34" s="7">
        <f>IFERROR(INDEX(T_6_1[Promedio],MATCH(T_GENERAL[[#This Row],[Codigo_Local]],T_6_1[Codigo_Local],0)),0)</f>
      </c>
      <c r="R34" s="7">
        <f>IFERROR(INDEX(T_6_2[Promedio],MATCH(T_GENERAL[[#This Row],[Codigo_Local]],T_6_2[Codigo_Local],0)),0)</f>
      </c>
      <c r="S34" s="7">
        <f>IFERROR(INDEX(T_6_3[Promedio],MATCH(T_GENERAL[[#This Row],[Codigo_Local]],T_6_3[Codigo_Local],0)),0)</f>
      </c>
      <c r="T34" s="7">
        <f>IFERROR(INDEX(T_6_4[Promedio],MATCH(T_GENERAL[[#This Row],[Codigo_Local]],T_6_4[Codigo_Local],0)),0)</f>
      </c>
      <c r="U34" s="7">
        <f>IFERROR(INDEX(T_6_5[Promedio],MATCH(T_GENERAL[[#This Row],[Codigo_Local]],T_6_5[Codigo_Local],0)),0)</f>
      </c>
      <c r="V34" s="8">
        <f>AVERAGE(T_GENERAL[[#This Row],[CAT_6.1]],T_GENERAL[[#This Row],[CAT_6.2]],T_GENERAL[[#This Row],[CAT_6.3]],T_GENERAL[[#This Row],[CAT_6.4]],T_GENERAL[[#This Row],[CAT_6.5]])</f>
      </c>
      <c r="W34" s="9">
        <f>IF(T_GENERAL[[#This Row],[RESULTADO]]=0,"NO INICIÓ",IF(T_GENERAL[[#This Row],[RESULTADO]]&lt;=1,"INICIO",IF(T_GENERAL[[#This Row],[RESULTADO]]&lt;=2,"PROCESO",IF(T_GENERAL[[#This Row],[RESULTADO]]&lt;=3,"LOGRADO",""))))</f>
      </c>
      <c r="X34" s="3">
        <f>IF(T_GENERAL[[#This Row],[RESULTADO]]=0,"PENDIENTE","EJECUTADO")</f>
      </c>
    </row>
    <row r="35" ht="20" customHeight="1" spans="1:24" x14ac:dyDescent="0.25">
      <c r="A35" s="2" t="s">
        <v>40</v>
      </c>
      <c r="B35" s="3">
        <f>IF(ISBLANK(T_GENERAL[[#This Row],[Fecha_Visita]]),"",UPPER(TEXT(T_GENERAL[[#This Row],[Fecha_Visita]],"mmmm")))</f>
      </c>
      <c r="C35" s="4" t="s">
        <v>219</v>
      </c>
      <c r="D35" s="5" t="s">
        <v>220</v>
      </c>
      <c r="E35" s="6" t="s">
        <v>43</v>
      </c>
      <c r="F35" s="2" t="s">
        <v>27</v>
      </c>
      <c r="G35" s="2" t="s">
        <v>28</v>
      </c>
      <c r="H35" s="4" t="s">
        <v>196</v>
      </c>
      <c r="I35" s="6" t="s">
        <v>45</v>
      </c>
      <c r="J35" s="2" t="s">
        <v>46</v>
      </c>
      <c r="K35" s="6" t="s">
        <v>47</v>
      </c>
      <c r="L35" s="6" t="s">
        <v>221</v>
      </c>
      <c r="M35" s="4" t="s">
        <v>222</v>
      </c>
      <c r="N35" s="4" t="s">
        <v>223</v>
      </c>
      <c r="O35" s="2" t="s">
        <v>51</v>
      </c>
      <c r="P35" s="6" t="s">
        <v>224</v>
      </c>
      <c r="Q35" s="7">
        <f>IFERROR(INDEX(T_6_1[Promedio],MATCH(T_GENERAL[[#This Row],[Codigo_Local]],T_6_1[Codigo_Local],0)),0)</f>
      </c>
      <c r="R35" s="7">
        <f>IFERROR(INDEX(T_6_2[Promedio],MATCH(T_GENERAL[[#This Row],[Codigo_Local]],T_6_2[Codigo_Local],0)),0)</f>
      </c>
      <c r="S35" s="7">
        <f>IFERROR(INDEX(T_6_3[Promedio],MATCH(T_GENERAL[[#This Row],[Codigo_Local]],T_6_3[Codigo_Local],0)),0)</f>
      </c>
      <c r="T35" s="7">
        <f>IFERROR(INDEX(T_6_4[Promedio],MATCH(T_GENERAL[[#This Row],[Codigo_Local]],T_6_4[Codigo_Local],0)),0)</f>
      </c>
      <c r="U35" s="7">
        <f>IFERROR(INDEX(T_6_5[Promedio],MATCH(T_GENERAL[[#This Row],[Codigo_Local]],T_6_5[Codigo_Local],0)),0)</f>
      </c>
      <c r="V35" s="8">
        <f>AVERAGE(T_GENERAL[[#This Row],[CAT_6.1]],T_GENERAL[[#This Row],[CAT_6.2]],T_GENERAL[[#This Row],[CAT_6.3]],T_GENERAL[[#This Row],[CAT_6.4]],T_GENERAL[[#This Row],[CAT_6.5]])</f>
      </c>
      <c r="W35" s="9">
        <f>IF(T_GENERAL[[#This Row],[RESULTADO]]=0,"NO INICIÓ",IF(T_GENERAL[[#This Row],[RESULTADO]]&lt;=1,"INICIO",IF(T_GENERAL[[#This Row],[RESULTADO]]&lt;=2,"PROCESO",IF(T_GENERAL[[#This Row],[RESULTADO]]&lt;=3,"LOGRADO",""))))</f>
      </c>
      <c r="X35" s="3">
        <f>IF(T_GENERAL[[#This Row],[RESULTADO]]=0,"PENDIENTE","EJECUTADO")</f>
      </c>
    </row>
    <row r="36" ht="20" customHeight="1" spans="1:24" x14ac:dyDescent="0.25">
      <c r="A36" s="2" t="s">
        <v>40</v>
      </c>
      <c r="B36" s="3">
        <f>IF(ISBLANK(T_GENERAL[[#This Row],[Fecha_Visita]]),"",UPPER(TEXT(T_GENERAL[[#This Row],[Fecha_Visita]],"mmmm")))</f>
      </c>
      <c r="C36" s="4" t="s">
        <v>225</v>
      </c>
      <c r="D36" s="5" t="s">
        <v>226</v>
      </c>
      <c r="E36" s="6" t="s">
        <v>43</v>
      </c>
      <c r="F36" s="2" t="s">
        <v>27</v>
      </c>
      <c r="G36" s="2" t="s">
        <v>28</v>
      </c>
      <c r="H36" s="4" t="s">
        <v>196</v>
      </c>
      <c r="I36" s="6" t="s">
        <v>45</v>
      </c>
      <c r="J36" s="2" t="s">
        <v>46</v>
      </c>
      <c r="K36" s="6" t="s">
        <v>47</v>
      </c>
      <c r="L36" s="6" t="s">
        <v>227</v>
      </c>
      <c r="M36" s="4" t="s">
        <v>228</v>
      </c>
      <c r="N36" s="4" t="s">
        <v>229</v>
      </c>
      <c r="O36" s="2" t="s">
        <v>51</v>
      </c>
      <c r="P36" s="6" t="s">
        <v>230</v>
      </c>
      <c r="Q36" s="7">
        <f>IFERROR(INDEX(T_6_1[Promedio],MATCH(T_GENERAL[[#This Row],[Codigo_Local]],T_6_1[Codigo_Local],0)),0)</f>
      </c>
      <c r="R36" s="7">
        <f>IFERROR(INDEX(T_6_2[Promedio],MATCH(T_GENERAL[[#This Row],[Codigo_Local]],T_6_2[Codigo_Local],0)),0)</f>
      </c>
      <c r="S36" s="7">
        <f>IFERROR(INDEX(T_6_3[Promedio],MATCH(T_GENERAL[[#This Row],[Codigo_Local]],T_6_3[Codigo_Local],0)),0)</f>
      </c>
      <c r="T36" s="7">
        <f>IFERROR(INDEX(T_6_4[Promedio],MATCH(T_GENERAL[[#This Row],[Codigo_Local]],T_6_4[Codigo_Local],0)),0)</f>
      </c>
      <c r="U36" s="7">
        <f>IFERROR(INDEX(T_6_5[Promedio],MATCH(T_GENERAL[[#This Row],[Codigo_Local]],T_6_5[Codigo_Local],0)),0)</f>
      </c>
      <c r="V36" s="8">
        <f>AVERAGE(T_GENERAL[[#This Row],[CAT_6.1]],T_GENERAL[[#This Row],[CAT_6.2]],T_GENERAL[[#This Row],[CAT_6.3]],T_GENERAL[[#This Row],[CAT_6.4]],T_GENERAL[[#This Row],[CAT_6.5]])</f>
      </c>
      <c r="W36" s="9">
        <f>IF(T_GENERAL[[#This Row],[RESULTADO]]=0,"NO INICIÓ",IF(T_GENERAL[[#This Row],[RESULTADO]]&lt;=1,"INICIO",IF(T_GENERAL[[#This Row],[RESULTADO]]&lt;=2,"PROCESO",IF(T_GENERAL[[#This Row],[RESULTADO]]&lt;=3,"LOGRADO",""))))</f>
      </c>
      <c r="X36" s="3">
        <f>IF(T_GENERAL[[#This Row],[RESULTADO]]=0,"PENDIENTE","EJECUTADO")</f>
      </c>
    </row>
    <row r="37" ht="20" customHeight="1" spans="1:24" x14ac:dyDescent="0.25">
      <c r="A37" s="2" t="s">
        <v>40</v>
      </c>
      <c r="B37" s="3">
        <f>IF(ISBLANK(T_GENERAL[[#This Row],[Fecha_Visita]]),"",UPPER(TEXT(T_GENERAL[[#This Row],[Fecha_Visita]],"mmmm")))</f>
      </c>
      <c r="C37" s="4" t="s">
        <v>231</v>
      </c>
      <c r="D37" s="5" t="s">
        <v>232</v>
      </c>
      <c r="E37" s="6" t="s">
        <v>43</v>
      </c>
      <c r="F37" s="2" t="s">
        <v>27</v>
      </c>
      <c r="G37" s="2" t="s">
        <v>28</v>
      </c>
      <c r="H37" s="4" t="s">
        <v>233</v>
      </c>
      <c r="I37" s="6" t="s">
        <v>45</v>
      </c>
      <c r="J37" s="2" t="s">
        <v>46</v>
      </c>
      <c r="K37" s="6" t="s">
        <v>47</v>
      </c>
      <c r="L37" s="6" t="s">
        <v>234</v>
      </c>
      <c r="M37" s="4" t="s">
        <v>235</v>
      </c>
      <c r="N37" s="4" t="s">
        <v>236</v>
      </c>
      <c r="O37" s="2" t="s">
        <v>51</v>
      </c>
      <c r="P37" s="6" t="s">
        <v>237</v>
      </c>
      <c r="Q37" s="7">
        <f>IFERROR(INDEX(T_6_1[Promedio],MATCH(T_GENERAL[[#This Row],[Codigo_Local]],T_6_1[Codigo_Local],0)),0)</f>
      </c>
      <c r="R37" s="7">
        <f>IFERROR(INDEX(T_6_2[Promedio],MATCH(T_GENERAL[[#This Row],[Codigo_Local]],T_6_2[Codigo_Local],0)),0)</f>
      </c>
      <c r="S37" s="7">
        <f>IFERROR(INDEX(T_6_3[Promedio],MATCH(T_GENERAL[[#This Row],[Codigo_Local]],T_6_3[Codigo_Local],0)),0)</f>
      </c>
      <c r="T37" s="7">
        <f>IFERROR(INDEX(T_6_4[Promedio],MATCH(T_GENERAL[[#This Row],[Codigo_Local]],T_6_4[Codigo_Local],0)),0)</f>
      </c>
      <c r="U37" s="7">
        <f>IFERROR(INDEX(T_6_5[Promedio],MATCH(T_GENERAL[[#This Row],[Codigo_Local]],T_6_5[Codigo_Local],0)),0)</f>
      </c>
      <c r="V37" s="8">
        <f>AVERAGE(T_GENERAL[[#This Row],[CAT_6.1]],T_GENERAL[[#This Row],[CAT_6.2]],T_GENERAL[[#This Row],[CAT_6.3]],T_GENERAL[[#This Row],[CAT_6.4]],T_GENERAL[[#This Row],[CAT_6.5]])</f>
      </c>
      <c r="W37" s="9">
        <f>IF(T_GENERAL[[#This Row],[RESULTADO]]=0,"NO INICIÓ",IF(T_GENERAL[[#This Row],[RESULTADO]]&lt;=1,"INICIO",IF(T_GENERAL[[#This Row],[RESULTADO]]&lt;=2,"PROCESO",IF(T_GENERAL[[#This Row],[RESULTADO]]&lt;=3,"LOGRADO",""))))</f>
      </c>
      <c r="X37" s="3">
        <f>IF(T_GENERAL[[#This Row],[RESULTADO]]=0,"PENDIENTE","EJECUTADO")</f>
      </c>
    </row>
    <row r="38" ht="20" customHeight="1" spans="1:24" x14ac:dyDescent="0.25">
      <c r="A38" s="2" t="s">
        <v>40</v>
      </c>
      <c r="B38" s="3">
        <f>IF(ISBLANK(T_GENERAL[[#This Row],[Fecha_Visita]]),"",UPPER(TEXT(T_GENERAL[[#This Row],[Fecha_Visita]],"mmmm")))</f>
      </c>
      <c r="C38" s="4" t="s">
        <v>238</v>
      </c>
      <c r="D38" s="5" t="s">
        <v>239</v>
      </c>
      <c r="E38" s="6" t="s">
        <v>43</v>
      </c>
      <c r="F38" s="2" t="s">
        <v>27</v>
      </c>
      <c r="G38" s="2" t="s">
        <v>28</v>
      </c>
      <c r="H38" s="4" t="s">
        <v>240</v>
      </c>
      <c r="I38" s="6" t="s">
        <v>45</v>
      </c>
      <c r="J38" s="2" t="s">
        <v>46</v>
      </c>
      <c r="K38" s="6" t="s">
        <v>47</v>
      </c>
      <c r="L38" s="6" t="s">
        <v>241</v>
      </c>
      <c r="M38" s="4" t="s">
        <v>242</v>
      </c>
      <c r="N38" s="4" t="s">
        <v>243</v>
      </c>
      <c r="O38" s="2" t="s">
        <v>51</v>
      </c>
      <c r="P38" s="6" t="s">
        <v>244</v>
      </c>
      <c r="Q38" s="7">
        <f>IFERROR(INDEX(T_6_1[Promedio],MATCH(T_GENERAL[[#This Row],[Codigo_Local]],T_6_1[Codigo_Local],0)),0)</f>
      </c>
      <c r="R38" s="7">
        <f>IFERROR(INDEX(T_6_2[Promedio],MATCH(T_GENERAL[[#This Row],[Codigo_Local]],T_6_2[Codigo_Local],0)),0)</f>
      </c>
      <c r="S38" s="7">
        <f>IFERROR(INDEX(T_6_3[Promedio],MATCH(T_GENERAL[[#This Row],[Codigo_Local]],T_6_3[Codigo_Local],0)),0)</f>
      </c>
      <c r="T38" s="7">
        <f>IFERROR(INDEX(T_6_4[Promedio],MATCH(T_GENERAL[[#This Row],[Codigo_Local]],T_6_4[Codigo_Local],0)),0)</f>
      </c>
      <c r="U38" s="7">
        <f>IFERROR(INDEX(T_6_5[Promedio],MATCH(T_GENERAL[[#This Row],[Codigo_Local]],T_6_5[Codigo_Local],0)),0)</f>
      </c>
      <c r="V38" s="8">
        <f>AVERAGE(T_GENERAL[[#This Row],[CAT_6.1]],T_GENERAL[[#This Row],[CAT_6.2]],T_GENERAL[[#This Row],[CAT_6.3]],T_GENERAL[[#This Row],[CAT_6.4]],T_GENERAL[[#This Row],[CAT_6.5]])</f>
      </c>
      <c r="W38" s="9">
        <f>IF(T_GENERAL[[#This Row],[RESULTADO]]=0,"NO INICIÓ",IF(T_GENERAL[[#This Row],[RESULTADO]]&lt;=1,"INICIO",IF(T_GENERAL[[#This Row],[RESULTADO]]&lt;=2,"PROCESO",IF(T_GENERAL[[#This Row],[RESULTADO]]&lt;=3,"LOGRADO",""))))</f>
      </c>
      <c r="X38" s="3">
        <f>IF(T_GENERAL[[#This Row],[RESULTADO]]=0,"PENDIENTE","EJECUTADO")</f>
      </c>
    </row>
    <row r="39" ht="20" customHeight="1" spans="1:24" x14ac:dyDescent="0.25">
      <c r="A39" s="2" t="s">
        <v>40</v>
      </c>
      <c r="B39" s="3">
        <f>IF(ISBLANK(T_GENERAL[[#This Row],[Fecha_Visita]]),"",UPPER(TEXT(T_GENERAL[[#This Row],[Fecha_Visita]],"mmmm")))</f>
      </c>
      <c r="C39" s="4" t="s">
        <v>245</v>
      </c>
      <c r="D39" s="5" t="s">
        <v>246</v>
      </c>
      <c r="E39" s="6" t="s">
        <v>43</v>
      </c>
      <c r="F39" s="2" t="s">
        <v>27</v>
      </c>
      <c r="G39" s="2" t="s">
        <v>28</v>
      </c>
      <c r="H39" s="4" t="s">
        <v>240</v>
      </c>
      <c r="I39" s="6" t="s">
        <v>45</v>
      </c>
      <c r="J39" s="2" t="s">
        <v>46</v>
      </c>
      <c r="K39" s="6" t="s">
        <v>47</v>
      </c>
      <c r="L39" s="6" t="s">
        <v>247</v>
      </c>
      <c r="M39" s="4" t="s">
        <v>248</v>
      </c>
      <c r="N39" s="4" t="s">
        <v>249</v>
      </c>
      <c r="O39" s="2" t="s">
        <v>51</v>
      </c>
      <c r="P39" s="6" t="s">
        <v>250</v>
      </c>
      <c r="Q39" s="7">
        <f>IFERROR(INDEX(T_6_1[Promedio],MATCH(T_GENERAL[[#This Row],[Codigo_Local]],T_6_1[Codigo_Local],0)),0)</f>
      </c>
      <c r="R39" s="7">
        <f>IFERROR(INDEX(T_6_2[Promedio],MATCH(T_GENERAL[[#This Row],[Codigo_Local]],T_6_2[Codigo_Local],0)),0)</f>
      </c>
      <c r="S39" s="7">
        <f>IFERROR(INDEX(T_6_3[Promedio],MATCH(T_GENERAL[[#This Row],[Codigo_Local]],T_6_3[Codigo_Local],0)),0)</f>
      </c>
      <c r="T39" s="7">
        <f>IFERROR(INDEX(T_6_4[Promedio],MATCH(T_GENERAL[[#This Row],[Codigo_Local]],T_6_4[Codigo_Local],0)),0)</f>
      </c>
      <c r="U39" s="7">
        <f>IFERROR(INDEX(T_6_5[Promedio],MATCH(T_GENERAL[[#This Row],[Codigo_Local]],T_6_5[Codigo_Local],0)),0)</f>
      </c>
      <c r="V39" s="8">
        <f>AVERAGE(T_GENERAL[[#This Row],[CAT_6.1]],T_GENERAL[[#This Row],[CAT_6.2]],T_GENERAL[[#This Row],[CAT_6.3]],T_GENERAL[[#This Row],[CAT_6.4]],T_GENERAL[[#This Row],[CAT_6.5]])</f>
      </c>
      <c r="W39" s="9">
        <f>IF(T_GENERAL[[#This Row],[RESULTADO]]=0,"NO INICIÓ",IF(T_GENERAL[[#This Row],[RESULTADO]]&lt;=1,"INICIO",IF(T_GENERAL[[#This Row],[RESULTADO]]&lt;=2,"PROCESO",IF(T_GENERAL[[#This Row],[RESULTADO]]&lt;=3,"LOGRADO",""))))</f>
      </c>
      <c r="X39" s="3">
        <f>IF(T_GENERAL[[#This Row],[RESULTADO]]=0,"PENDIENTE","EJECUTADO")</f>
      </c>
    </row>
  </sheetData>
  <conditionalFormatting sqref="W2:W39">
    <cfRule type="cellIs" dxfId="0" priority="1" operator="equal">
      <formula>"NO INICIÓ"</formula>
    </cfRule>
    <cfRule type="cellIs" dxfId="1" priority="2" operator="equal">
      <formula>"LOGRADO"</formula>
    </cfRule>
    <cfRule type="cellIs" dxfId="2" priority="3" operator="equal">
      <formula>"PROCESO"</formula>
    </cfRule>
    <cfRule type="cellIs" dxfId="3" priority="4" operator="equal">
      <formula>"INICIO"</formula>
    </cfRule>
  </conditionalFormatting>
  <dataValidations count="3">
    <dataValidation type="list" sqref="F2:F39">
      <formula1>"EBR"</formula1>
    </dataValidation>
    <dataValidation type="list" allowBlank="1" sqref="J2:J39">
      <formula1>"Si,No"</formula1>
    </dataValidation>
    <dataValidation type="list" allowBlank="1" sqref="O2:O39">
      <formula1>"Nombrado,Contratado,Encargado,Designado"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251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IFERROR(AVERAGE(T_6_1[[#This Row],[ITEM_6.1.1]]:T_6_1[[#This Row],[ITEM_6.1.3]]),0)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IFERROR(AVERAGE(T_6_1[[#This Row],[ITEM_6.1.1]]:T_6_1[[#This Row],[ITEM_6.1.3]]),0)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IFERROR(AVERAGE(T_6_1[[#This Row],[ITEM_6.1.1]]:T_6_1[[#This Row],[ITEM_6.1.3]]),0)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IFERROR(AVERAGE(T_6_1[[#This Row],[ITEM_6.1.1]]:T_6_1[[#This Row],[ITEM_6.1.3]]),0)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IFERROR(AVERAGE(T_6_1[[#This Row],[ITEM_6.1.1]]:T_6_1[[#This Row],[ITEM_6.1.3]]),0)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2</v>
      </c>
      <c r="E8" s="2">
        <v>3</v>
      </c>
      <c r="F8" s="8">
        <f>IFERROR(AVERAGE(T_6_1[[#This Row],[ITEM_6.1.1]]:T_6_1[[#This Row],[ITEM_6.1.3]]),0)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3</v>
      </c>
      <c r="D9" s="2">
        <v>2</v>
      </c>
      <c r="E9" s="2">
        <v>2</v>
      </c>
      <c r="F9" s="8">
        <f>IFERROR(AVERAGE(T_6_1[[#This Row],[ITEM_6.1.1]]:T_6_1[[#This Row],[ITEM_6.1.3]]),0)</f>
      </c>
      <c r="G9" s="11" t="s">
        <v>44</v>
      </c>
      <c r="H9" s="12"/>
    </row>
    <row r="10" ht="18" customHeight="1" spans="1:8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8">
        <f>IFERROR(AVERAGE(T_6_1[[#This Row],[ITEM_6.1.1]]:T_6_1[[#This Row],[ITEM_6.1.3]]),0)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8">
        <f>IFERROR(AVERAGE(T_6_1[[#This Row],[ITEM_6.1.1]]:T_6_1[[#This Row],[ITEM_6.1.3]]),0)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8">
        <f>IFERROR(AVERAGE(T_6_1[[#This Row],[ITEM_6.1.1]]:T_6_1[[#This Row],[ITEM_6.1.3]]),0)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2</v>
      </c>
      <c r="F13" s="8">
        <f>IFERROR(AVERAGE(T_6_1[[#This Row],[ITEM_6.1.1]]:T_6_1[[#This Row],[ITEM_6.1.3]]),0)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3</v>
      </c>
      <c r="E14" s="2">
        <v>3</v>
      </c>
      <c r="F14" s="8">
        <f>IFERROR(AVERAGE(T_6_1[[#This Row],[ITEM_6.1.1]]:T_6_1[[#This Row],[ITEM_6.1.3]]),0)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8">
        <f>IFERROR(AVERAGE(T_6_1[[#This Row],[ITEM_6.1.1]]:T_6_1[[#This Row],[ITEM_6.1.3]]),0)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2</v>
      </c>
      <c r="F16" s="8">
        <f>IFERROR(AVERAGE(T_6_1[[#This Row],[ITEM_6.1.1]]:T_6_1[[#This Row],[ITEM_6.1.3]]),0)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2</v>
      </c>
      <c r="D17" s="2">
        <v>2</v>
      </c>
      <c r="E17" s="2">
        <v>2</v>
      </c>
      <c r="F17" s="8">
        <f>IFERROR(AVERAGE(T_6_1[[#This Row],[ITEM_6.1.1]]:T_6_1[[#This Row],[ITEM_6.1.3]]),0)</f>
      </c>
      <c r="G17" s="11" t="s">
        <v>79</v>
      </c>
      <c r="H17" s="12"/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2</v>
      </c>
      <c r="F18" s="8">
        <f>IFERROR(AVERAGE(T_6_1[[#This Row],[ITEM_6.1.1]]:T_6_1[[#This Row],[ITEM_6.1.3]]),0)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3</v>
      </c>
      <c r="D19" s="2">
        <v>3</v>
      </c>
      <c r="E19" s="2">
        <v>3</v>
      </c>
      <c r="F19" s="8">
        <f>IFERROR(AVERAGE(T_6_1[[#This Row],[ITEM_6.1.1]]:T_6_1[[#This Row],[ITEM_6.1.3]]),0)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3</v>
      </c>
      <c r="D20" s="2">
        <v>2</v>
      </c>
      <c r="E20" s="2">
        <v>2</v>
      </c>
      <c r="F20" s="8">
        <f>IFERROR(AVERAGE(T_6_1[[#This Row],[ITEM_6.1.1]]:T_6_1[[#This Row],[ITEM_6.1.3]]),0)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IFERROR(AVERAGE(T_6_1[[#This Row],[ITEM_6.1.1]]:T_6_1[[#This Row],[ITEM_6.1.3]]),0)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IFERROR(AVERAGE(T_6_1[[#This Row],[ITEM_6.1.1]]:T_6_1[[#This Row],[ITEM_6.1.3]]),0)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IFERROR(AVERAGE(T_6_1[[#This Row],[ITEM_6.1.1]]:T_6_1[[#This Row],[ITEM_6.1.3]]),0)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IFERROR(AVERAGE(T_6_1[[#This Row],[ITEM_6.1.1]]:T_6_1[[#This Row],[ITEM_6.1.3]]),0)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IFERROR(AVERAGE(T_6_1[[#This Row],[ITEM_6.1.1]]:T_6_1[[#This Row],[ITEM_6.1.3]]),0)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IFERROR(AVERAGE(T_6_1[[#This Row],[ITEM_6.1.1]]:T_6_1[[#This Row],[ITEM_6.1.3]]),0)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2</v>
      </c>
      <c r="D27" s="2">
        <v>2</v>
      </c>
      <c r="E27" s="2">
        <v>2</v>
      </c>
      <c r="F27" s="8">
        <f>IFERROR(AVERAGE(T_6_1[[#This Row],[ITEM_6.1.1]]:T_6_1[[#This Row],[ITEM_6.1.3]]),0)</f>
      </c>
      <c r="G27" s="11" t="s">
        <v>146</v>
      </c>
      <c r="H27" s="12"/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8">
        <f>IFERROR(AVERAGE(T_6_1[[#This Row],[ITEM_6.1.1]]:T_6_1[[#This Row],[ITEM_6.1.3]]),0)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8">
        <f>IFERROR(AVERAGE(T_6_1[[#This Row],[ITEM_6.1.1]]:T_6_1[[#This Row],[ITEM_6.1.3]]),0)</f>
      </c>
      <c r="G29" s="11" t="s">
        <v>177</v>
      </c>
      <c r="H29" s="12"/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2</v>
      </c>
      <c r="E30" s="2">
        <v>3</v>
      </c>
      <c r="F30" s="8">
        <f>IFERROR(AVERAGE(T_6_1[[#This Row],[ITEM_6.1.1]]:T_6_1[[#This Row],[ITEM_6.1.3]]),0)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IFERROR(AVERAGE(T_6_1[[#This Row],[ITEM_6.1.1]]:T_6_1[[#This Row],[ITEM_6.1.3]]),0)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3</v>
      </c>
      <c r="D32" s="2">
        <v>3</v>
      </c>
      <c r="E32" s="2">
        <v>2</v>
      </c>
      <c r="F32" s="8">
        <f>IFERROR(AVERAGE(T_6_1[[#This Row],[ITEM_6.1.1]]:T_6_1[[#This Row],[ITEM_6.1.3]]),0)</f>
      </c>
      <c r="G32" s="11" t="s">
        <v>196</v>
      </c>
      <c r="H32" s="12"/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IFERROR(AVERAGE(T_6_1[[#This Row],[ITEM_6.1.1]]:T_6_1[[#This Row],[ITEM_6.1.3]]),0)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8">
        <f>IFERROR(AVERAGE(T_6_1[[#This Row],[ITEM_6.1.1]]:T_6_1[[#This Row],[ITEM_6.1.3]]),0)</f>
      </c>
      <c r="G34" s="11" t="s">
        <v>196</v>
      </c>
      <c r="H34" s="12"/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IFERROR(AVERAGE(T_6_1[[#This Row],[ITEM_6.1.1]]:T_6_1[[#This Row],[ITEM_6.1.3]]),0)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IFERROR(AVERAGE(T_6_1[[#This Row],[ITEM_6.1.1]]:T_6_1[[#This Row],[ITEM_6.1.3]]),0)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IFERROR(AVERAGE(T_6_1[[#This Row],[ITEM_6.1.1]]:T_6_1[[#This Row],[ITEM_6.1.3]]),0)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IFERROR(AVERAGE(T_6_1[[#This Row],[ITEM_6.1.1]]:T_6_1[[#This Row],[ITEM_6.1.3]]),0)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8">
        <f>IFERROR(AVERAGE(T_6_1[[#This Row],[ITEM_6.1.1]]:T_6_1[[#This Row],[ITEM_6.1.3]]),0)</f>
      </c>
      <c r="G39" s="11" t="s">
        <v>240</v>
      </c>
      <c r="H39" s="12"/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IFERROR(AVERAGE(T_6_1[[#This Row],[ITEM_6.1.1]]:T_6_1[[#This Row],[ITEM_6.1.3]]),0)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4" priority="1" operator="equal">
      <formula>3</formula>
    </cfRule>
    <cfRule type="cellIs" dxfId="5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ht="24" customHeight="1" spans="1:7" x14ac:dyDescent="0.25">
      <c r="A1" s="10" t="s">
        <v>258</v>
      </c>
      <c r="B1" s="10"/>
      <c r="C1" s="10"/>
      <c r="D1" s="10"/>
      <c r="E1" s="10"/>
      <c r="F1" s="10"/>
      <c r="G1" s="10"/>
    </row>
    <row r="2" ht="30" customHeight="1" spans="1:7" x14ac:dyDescent="0.25">
      <c r="A2" s="1" t="s">
        <v>2</v>
      </c>
      <c r="B2" s="1" t="s">
        <v>252</v>
      </c>
      <c r="C2" s="1" t="s">
        <v>259</v>
      </c>
      <c r="D2" s="1" t="s">
        <v>260</v>
      </c>
      <c r="E2" s="1" t="s">
        <v>256</v>
      </c>
      <c r="F2" s="1" t="s">
        <v>7</v>
      </c>
      <c r="G2" s="1" t="s">
        <v>257</v>
      </c>
    </row>
    <row r="3" ht="18" customHeight="1" spans="1:7" x14ac:dyDescent="0.25">
      <c r="A3" s="11" t="s">
        <v>24</v>
      </c>
      <c r="B3" s="5" t="s">
        <v>25</v>
      </c>
      <c r="C3" s="2"/>
      <c r="D3" s="2"/>
      <c r="E3" s="8">
        <f>IFERROR(AVERAGE(T_6_2[[#This Row],[ITEM_6.2.1]]:T_6_2[[#This Row],[ITEM_6.2.2]]),0)</f>
      </c>
      <c r="F3" s="11" t="s">
        <v>29</v>
      </c>
      <c r="G3" s="12"/>
    </row>
    <row r="4" ht="18" customHeight="1" spans="1:7" x14ac:dyDescent="0.25">
      <c r="A4" s="11" t="s">
        <v>32</v>
      </c>
      <c r="B4" s="5" t="s">
        <v>33</v>
      </c>
      <c r="C4" s="2"/>
      <c r="D4" s="2"/>
      <c r="E4" s="8">
        <f>IFERROR(AVERAGE(T_6_2[[#This Row],[ITEM_6.2.1]]:T_6_2[[#This Row],[ITEM_6.2.2]]),0)</f>
      </c>
      <c r="F4" s="11" t="s">
        <v>29</v>
      </c>
      <c r="G4" s="12"/>
    </row>
    <row r="5" ht="18" customHeight="1" spans="1:7" x14ac:dyDescent="0.25">
      <c r="A5" s="11" t="s">
        <v>34</v>
      </c>
      <c r="B5" s="5" t="s">
        <v>35</v>
      </c>
      <c r="C5" s="2"/>
      <c r="D5" s="2"/>
      <c r="E5" s="8">
        <f>IFERROR(AVERAGE(T_6_2[[#This Row],[ITEM_6.2.1]]:T_6_2[[#This Row],[ITEM_6.2.2]]),0)</f>
      </c>
      <c r="F5" s="11" t="s">
        <v>29</v>
      </c>
      <c r="G5" s="12"/>
    </row>
    <row r="6" ht="18" customHeight="1" spans="1:7" x14ac:dyDescent="0.25">
      <c r="A6" s="11" t="s">
        <v>36</v>
      </c>
      <c r="B6" s="5" t="s">
        <v>37</v>
      </c>
      <c r="C6" s="2"/>
      <c r="D6" s="2"/>
      <c r="E6" s="8">
        <f>IFERROR(AVERAGE(T_6_2[[#This Row],[ITEM_6.2.1]]:T_6_2[[#This Row],[ITEM_6.2.2]]),0)</f>
      </c>
      <c r="F6" s="11" t="s">
        <v>29</v>
      </c>
      <c r="G6" s="12"/>
    </row>
    <row r="7" ht="18" customHeight="1" spans="1:7" x14ac:dyDescent="0.25">
      <c r="A7" s="11" t="s">
        <v>38</v>
      </c>
      <c r="B7" s="5" t="s">
        <v>39</v>
      </c>
      <c r="C7" s="2"/>
      <c r="D7" s="2"/>
      <c r="E7" s="8">
        <f>IFERROR(AVERAGE(T_6_2[[#This Row],[ITEM_6.2.1]]:T_6_2[[#This Row],[ITEM_6.2.2]]),0)</f>
      </c>
      <c r="F7" s="11" t="s">
        <v>29</v>
      </c>
      <c r="G7" s="12"/>
    </row>
    <row r="8" ht="18" customHeight="1" spans="1:7" x14ac:dyDescent="0.25">
      <c r="A8" s="11" t="s">
        <v>41</v>
      </c>
      <c r="B8" s="5" t="s">
        <v>42</v>
      </c>
      <c r="C8" s="2">
        <v>3</v>
      </c>
      <c r="D8" s="2">
        <v>3</v>
      </c>
      <c r="E8" s="8">
        <f>IFERROR(AVERAGE(T_6_2[[#This Row],[ITEM_6.2.1]]:T_6_2[[#This Row],[ITEM_6.2.2]]),0)</f>
      </c>
      <c r="F8" s="11" t="s">
        <v>44</v>
      </c>
      <c r="G8" s="12"/>
    </row>
    <row r="9" ht="18" customHeight="1" spans="1:7" x14ac:dyDescent="0.25">
      <c r="A9" s="11" t="s">
        <v>53</v>
      </c>
      <c r="B9" s="5" t="s">
        <v>54</v>
      </c>
      <c r="C9" s="2">
        <v>3</v>
      </c>
      <c r="D9" s="2">
        <v>3</v>
      </c>
      <c r="E9" s="8">
        <f>IFERROR(AVERAGE(T_6_2[[#This Row],[ITEM_6.2.1]]:T_6_2[[#This Row],[ITEM_6.2.2]]),0)</f>
      </c>
      <c r="F9" s="11" t="s">
        <v>44</v>
      </c>
      <c r="G9" s="12"/>
    </row>
    <row r="10" ht="18" customHeight="1" spans="1:7" x14ac:dyDescent="0.25">
      <c r="A10" s="11" t="s">
        <v>59</v>
      </c>
      <c r="B10" s="5" t="s">
        <v>60</v>
      </c>
      <c r="C10" s="2">
        <v>3</v>
      </c>
      <c r="D10" s="2">
        <v>3</v>
      </c>
      <c r="E10" s="8">
        <f>IFERROR(AVERAGE(T_6_2[[#This Row],[ITEM_6.2.1]]:T_6_2[[#This Row],[ITEM_6.2.2]]),0)</f>
      </c>
      <c r="F10" s="11" t="s">
        <v>44</v>
      </c>
      <c r="G10" s="12"/>
    </row>
    <row r="11" ht="18" customHeight="1" spans="1:7" x14ac:dyDescent="0.25">
      <c r="A11" s="11" t="s">
        <v>65</v>
      </c>
      <c r="B11" s="5" t="s">
        <v>66</v>
      </c>
      <c r="C11" s="2">
        <v>3</v>
      </c>
      <c r="D11" s="2">
        <v>3</v>
      </c>
      <c r="E11" s="8">
        <f>IFERROR(AVERAGE(T_6_2[[#This Row],[ITEM_6.2.1]]:T_6_2[[#This Row],[ITEM_6.2.2]]),0)</f>
      </c>
      <c r="F11" s="11" t="s">
        <v>44</v>
      </c>
      <c r="G11" s="12"/>
    </row>
    <row r="12" ht="18" customHeight="1" spans="1:7" x14ac:dyDescent="0.25">
      <c r="A12" s="11" t="s">
        <v>71</v>
      </c>
      <c r="B12" s="5" t="s">
        <v>72</v>
      </c>
      <c r="C12" s="2">
        <v>3</v>
      </c>
      <c r="D12" s="2">
        <v>3</v>
      </c>
      <c r="E12" s="8">
        <f>IFERROR(AVERAGE(T_6_2[[#This Row],[ITEM_6.2.1]]:T_6_2[[#This Row],[ITEM_6.2.2]]),0)</f>
      </c>
      <c r="F12" s="11" t="s">
        <v>44</v>
      </c>
      <c r="G12" s="12"/>
    </row>
    <row r="13" ht="18" customHeight="1" spans="1:7" x14ac:dyDescent="0.25">
      <c r="A13" s="11" t="s">
        <v>77</v>
      </c>
      <c r="B13" s="5" t="s">
        <v>78</v>
      </c>
      <c r="C13" s="2">
        <v>3</v>
      </c>
      <c r="D13" s="2">
        <v>2</v>
      </c>
      <c r="E13" s="8">
        <f>IFERROR(AVERAGE(T_6_2[[#This Row],[ITEM_6.2.1]]:T_6_2[[#This Row],[ITEM_6.2.2]]),0)</f>
      </c>
      <c r="F13" s="11" t="s">
        <v>79</v>
      </c>
      <c r="G13" s="12"/>
    </row>
    <row r="14" ht="18" customHeight="1" spans="1:7" x14ac:dyDescent="0.25">
      <c r="A14" s="11" t="s">
        <v>84</v>
      </c>
      <c r="B14" s="5" t="s">
        <v>85</v>
      </c>
      <c r="C14" s="2">
        <v>3</v>
      </c>
      <c r="D14" s="2">
        <v>3</v>
      </c>
      <c r="E14" s="8">
        <f>IFERROR(AVERAGE(T_6_2[[#This Row],[ITEM_6.2.1]]:T_6_2[[#This Row],[ITEM_6.2.2]]),0)</f>
      </c>
      <c r="F14" s="11" t="s">
        <v>79</v>
      </c>
      <c r="G14" s="12"/>
    </row>
    <row r="15" ht="18" customHeight="1" spans="1:7" x14ac:dyDescent="0.25">
      <c r="A15" s="11" t="s">
        <v>90</v>
      </c>
      <c r="B15" s="5" t="s">
        <v>91</v>
      </c>
      <c r="C15" s="2">
        <v>3</v>
      </c>
      <c r="D15" s="2">
        <v>3</v>
      </c>
      <c r="E15" s="8">
        <f>IFERROR(AVERAGE(T_6_2[[#This Row],[ITEM_6.2.1]]:T_6_2[[#This Row],[ITEM_6.2.2]]),0)</f>
      </c>
      <c r="F15" s="11" t="s">
        <v>79</v>
      </c>
      <c r="G15" s="12"/>
    </row>
    <row r="16" ht="18" customHeight="1" spans="1:7" x14ac:dyDescent="0.25">
      <c r="A16" s="11" t="s">
        <v>96</v>
      </c>
      <c r="B16" s="5" t="s">
        <v>97</v>
      </c>
      <c r="C16" s="2">
        <v>3</v>
      </c>
      <c r="D16" s="2">
        <v>3</v>
      </c>
      <c r="E16" s="8">
        <f>IFERROR(AVERAGE(T_6_2[[#This Row],[ITEM_6.2.1]]:T_6_2[[#This Row],[ITEM_6.2.2]]),0)</f>
      </c>
      <c r="F16" s="11" t="s">
        <v>79</v>
      </c>
      <c r="G16" s="12"/>
    </row>
    <row r="17" ht="18" customHeight="1" spans="1:7" x14ac:dyDescent="0.25">
      <c r="A17" s="11" t="s">
        <v>102</v>
      </c>
      <c r="B17" s="5" t="s">
        <v>103</v>
      </c>
      <c r="C17" s="2">
        <v>3</v>
      </c>
      <c r="D17" s="2">
        <v>3</v>
      </c>
      <c r="E17" s="8">
        <f>IFERROR(AVERAGE(T_6_2[[#This Row],[ITEM_6.2.1]]:T_6_2[[#This Row],[ITEM_6.2.2]]),0)</f>
      </c>
      <c r="F17" s="11" t="s">
        <v>79</v>
      </c>
      <c r="G17" s="12"/>
    </row>
    <row r="18" ht="18" customHeight="1" spans="1:7" x14ac:dyDescent="0.25">
      <c r="A18" s="11" t="s">
        <v>108</v>
      </c>
      <c r="B18" s="5" t="s">
        <v>109</v>
      </c>
      <c r="C18" s="2">
        <v>3</v>
      </c>
      <c r="D18" s="2">
        <v>2</v>
      </c>
      <c r="E18" s="8">
        <f>IFERROR(AVERAGE(T_6_2[[#This Row],[ITEM_6.2.1]]:T_6_2[[#This Row],[ITEM_6.2.2]]),0)</f>
      </c>
      <c r="F18" s="11" t="s">
        <v>79</v>
      </c>
      <c r="G18" s="12"/>
    </row>
    <row r="19" ht="18" customHeight="1" spans="1:7" x14ac:dyDescent="0.25">
      <c r="A19" s="11" t="s">
        <v>114</v>
      </c>
      <c r="B19" s="5" t="s">
        <v>115</v>
      </c>
      <c r="C19" s="2">
        <v>3</v>
      </c>
      <c r="D19" s="2">
        <v>3</v>
      </c>
      <c r="E19" s="8">
        <f>IFERROR(AVERAGE(T_6_2[[#This Row],[ITEM_6.2.1]]:T_6_2[[#This Row],[ITEM_6.2.2]]),0)</f>
      </c>
      <c r="F19" s="11" t="s">
        <v>79</v>
      </c>
      <c r="G19" s="12"/>
    </row>
    <row r="20" ht="18" customHeight="1" spans="1:7" x14ac:dyDescent="0.25">
      <c r="A20" s="11" t="s">
        <v>120</v>
      </c>
      <c r="B20" s="5" t="s">
        <v>121</v>
      </c>
      <c r="C20" s="2">
        <v>3</v>
      </c>
      <c r="D20" s="2">
        <v>2</v>
      </c>
      <c r="E20" s="8">
        <f>IFERROR(AVERAGE(T_6_2[[#This Row],[ITEM_6.2.1]]:T_6_2[[#This Row],[ITEM_6.2.2]]),0)</f>
      </c>
      <c r="F20" s="11" t="s">
        <v>79</v>
      </c>
      <c r="G20" s="12"/>
    </row>
    <row r="21" ht="18" customHeight="1" spans="1:7" x14ac:dyDescent="0.25">
      <c r="A21" s="11" t="s">
        <v>126</v>
      </c>
      <c r="B21" s="5" t="s">
        <v>127</v>
      </c>
      <c r="C21" s="2">
        <v>3</v>
      </c>
      <c r="D21" s="2">
        <v>3</v>
      </c>
      <c r="E21" s="8">
        <f>IFERROR(AVERAGE(T_6_2[[#This Row],[ITEM_6.2.1]]:T_6_2[[#This Row],[ITEM_6.2.2]]),0)</f>
      </c>
      <c r="F21" s="11" t="s">
        <v>79</v>
      </c>
      <c r="G21" s="12"/>
    </row>
    <row r="22" ht="18" customHeight="1" spans="1:7" x14ac:dyDescent="0.25">
      <c r="A22" s="11" t="s">
        <v>132</v>
      </c>
      <c r="B22" s="5" t="s">
        <v>133</v>
      </c>
      <c r="C22" s="2">
        <v>3</v>
      </c>
      <c r="D22" s="2">
        <v>3</v>
      </c>
      <c r="E22" s="8">
        <f>IFERROR(AVERAGE(T_6_2[[#This Row],[ITEM_6.2.1]]:T_6_2[[#This Row],[ITEM_6.2.2]]),0)</f>
      </c>
      <c r="F22" s="11" t="s">
        <v>79</v>
      </c>
      <c r="G22" s="12"/>
    </row>
    <row r="23" ht="18" customHeight="1" spans="1:7" x14ac:dyDescent="0.25">
      <c r="A23" s="11" t="s">
        <v>138</v>
      </c>
      <c r="B23" s="5" t="s">
        <v>139</v>
      </c>
      <c r="C23" s="2">
        <v>3</v>
      </c>
      <c r="D23" s="2">
        <v>3</v>
      </c>
      <c r="E23" s="8">
        <f>IFERROR(AVERAGE(T_6_2[[#This Row],[ITEM_6.2.1]]:T_6_2[[#This Row],[ITEM_6.2.2]]),0)</f>
      </c>
      <c r="F23" s="11" t="s">
        <v>79</v>
      </c>
      <c r="G23" s="12"/>
    </row>
    <row r="24" ht="18" customHeight="1" spans="1:7" x14ac:dyDescent="0.25">
      <c r="A24" s="11" t="s">
        <v>144</v>
      </c>
      <c r="B24" s="5" t="s">
        <v>145</v>
      </c>
      <c r="C24" s="2">
        <v>3</v>
      </c>
      <c r="D24" s="2">
        <v>3</v>
      </c>
      <c r="E24" s="8">
        <f>IFERROR(AVERAGE(T_6_2[[#This Row],[ITEM_6.2.1]]:T_6_2[[#This Row],[ITEM_6.2.2]]),0)</f>
      </c>
      <c r="F24" s="11" t="s">
        <v>146</v>
      </c>
      <c r="G24" s="12"/>
    </row>
    <row r="25" ht="18" customHeight="1" spans="1:7" x14ac:dyDescent="0.25">
      <c r="A25" s="11" t="s">
        <v>151</v>
      </c>
      <c r="B25" s="5" t="s">
        <v>152</v>
      </c>
      <c r="C25" s="2">
        <v>3</v>
      </c>
      <c r="D25" s="2">
        <v>3</v>
      </c>
      <c r="E25" s="8">
        <f>IFERROR(AVERAGE(T_6_2[[#This Row],[ITEM_6.2.1]]:T_6_2[[#This Row],[ITEM_6.2.2]]),0)</f>
      </c>
      <c r="F25" s="11" t="s">
        <v>146</v>
      </c>
      <c r="G25" s="12"/>
    </row>
    <row r="26" ht="18" customHeight="1" spans="1:7" x14ac:dyDescent="0.25">
      <c r="A26" s="11" t="s">
        <v>157</v>
      </c>
      <c r="B26" s="5" t="s">
        <v>158</v>
      </c>
      <c r="C26" s="2">
        <v>3</v>
      </c>
      <c r="D26" s="2">
        <v>3</v>
      </c>
      <c r="E26" s="8">
        <f>IFERROR(AVERAGE(T_6_2[[#This Row],[ITEM_6.2.1]]:T_6_2[[#This Row],[ITEM_6.2.2]]),0)</f>
      </c>
      <c r="F26" s="11" t="s">
        <v>146</v>
      </c>
      <c r="G26" s="12"/>
    </row>
    <row r="27" ht="18" customHeight="1" spans="1:7" x14ac:dyDescent="0.25">
      <c r="A27" s="11" t="s">
        <v>163</v>
      </c>
      <c r="B27" s="5" t="s">
        <v>164</v>
      </c>
      <c r="C27" s="2">
        <v>3</v>
      </c>
      <c r="D27" s="2">
        <v>3</v>
      </c>
      <c r="E27" s="8">
        <f>IFERROR(AVERAGE(T_6_2[[#This Row],[ITEM_6.2.1]]:T_6_2[[#This Row],[ITEM_6.2.2]]),0)</f>
      </c>
      <c r="F27" s="11" t="s">
        <v>146</v>
      </c>
      <c r="G27" s="12"/>
    </row>
    <row r="28" ht="18" customHeight="1" spans="1:7" x14ac:dyDescent="0.25">
      <c r="A28" s="11" t="s">
        <v>169</v>
      </c>
      <c r="B28" s="5" t="s">
        <v>170</v>
      </c>
      <c r="C28" s="2">
        <v>3</v>
      </c>
      <c r="D28" s="2">
        <v>3</v>
      </c>
      <c r="E28" s="8">
        <f>IFERROR(AVERAGE(T_6_2[[#This Row],[ITEM_6.2.1]]:T_6_2[[#This Row],[ITEM_6.2.2]]),0)</f>
      </c>
      <c r="F28" s="11" t="s">
        <v>146</v>
      </c>
      <c r="G28" s="12"/>
    </row>
    <row r="29" ht="18" customHeight="1" spans="1:7" x14ac:dyDescent="0.25">
      <c r="A29" s="11" t="s">
        <v>175</v>
      </c>
      <c r="B29" s="5" t="s">
        <v>176</v>
      </c>
      <c r="C29" s="2">
        <v>3</v>
      </c>
      <c r="D29" s="2">
        <v>3</v>
      </c>
      <c r="E29" s="8">
        <f>IFERROR(AVERAGE(T_6_2[[#This Row],[ITEM_6.2.1]]:T_6_2[[#This Row],[ITEM_6.2.2]]),0)</f>
      </c>
      <c r="F29" s="11" t="s">
        <v>177</v>
      </c>
      <c r="G29" s="12"/>
    </row>
    <row r="30" ht="18" customHeight="1" spans="1:7" x14ac:dyDescent="0.25">
      <c r="A30" s="11" t="s">
        <v>182</v>
      </c>
      <c r="B30" s="5" t="s">
        <v>183</v>
      </c>
      <c r="C30" s="2">
        <v>3</v>
      </c>
      <c r="D30" s="2">
        <v>3</v>
      </c>
      <c r="E30" s="8">
        <f>IFERROR(AVERAGE(T_6_2[[#This Row],[ITEM_6.2.1]]:T_6_2[[#This Row],[ITEM_6.2.2]]),0)</f>
      </c>
      <c r="F30" s="11" t="s">
        <v>177</v>
      </c>
      <c r="G30" s="12"/>
    </row>
    <row r="31" ht="18" customHeight="1" spans="1:7" x14ac:dyDescent="0.25">
      <c r="A31" s="11" t="s">
        <v>188</v>
      </c>
      <c r="B31" s="5" t="s">
        <v>189</v>
      </c>
      <c r="C31" s="2">
        <v>3</v>
      </c>
      <c r="D31" s="2">
        <v>3</v>
      </c>
      <c r="E31" s="8">
        <f>IFERROR(AVERAGE(T_6_2[[#This Row],[ITEM_6.2.1]]:T_6_2[[#This Row],[ITEM_6.2.2]]),0)</f>
      </c>
      <c r="F31" s="11" t="s">
        <v>177</v>
      </c>
      <c r="G31" s="12"/>
    </row>
    <row r="32" ht="18" customHeight="1" spans="1:7" x14ac:dyDescent="0.25">
      <c r="A32" s="11" t="s">
        <v>194</v>
      </c>
      <c r="B32" s="5" t="s">
        <v>195</v>
      </c>
      <c r="C32" s="2">
        <v>3</v>
      </c>
      <c r="D32" s="2">
        <v>3</v>
      </c>
      <c r="E32" s="8">
        <f>IFERROR(AVERAGE(T_6_2[[#This Row],[ITEM_6.2.1]]:T_6_2[[#This Row],[ITEM_6.2.2]]),0)</f>
      </c>
      <c r="F32" s="11" t="s">
        <v>196</v>
      </c>
      <c r="G32" s="12"/>
    </row>
    <row r="33" ht="18" customHeight="1" spans="1:7" x14ac:dyDescent="0.25">
      <c r="A33" s="11" t="s">
        <v>201</v>
      </c>
      <c r="B33" s="5" t="s">
        <v>202</v>
      </c>
      <c r="C33" s="2">
        <v>2</v>
      </c>
      <c r="D33" s="2">
        <v>3</v>
      </c>
      <c r="E33" s="8">
        <f>IFERROR(AVERAGE(T_6_2[[#This Row],[ITEM_6.2.1]]:T_6_2[[#This Row],[ITEM_6.2.2]]),0)</f>
      </c>
      <c r="F33" s="11" t="s">
        <v>196</v>
      </c>
      <c r="G33" s="12"/>
    </row>
    <row r="34" ht="18" customHeight="1" spans="1:7" x14ac:dyDescent="0.25">
      <c r="A34" s="11" t="s">
        <v>207</v>
      </c>
      <c r="B34" s="5" t="s">
        <v>208</v>
      </c>
      <c r="C34" s="2">
        <v>3</v>
      </c>
      <c r="D34" s="2">
        <v>2</v>
      </c>
      <c r="E34" s="8">
        <f>IFERROR(AVERAGE(T_6_2[[#This Row],[ITEM_6.2.1]]:T_6_2[[#This Row],[ITEM_6.2.2]]),0)</f>
      </c>
      <c r="F34" s="11" t="s">
        <v>196</v>
      </c>
      <c r="G34" s="12"/>
    </row>
    <row r="35" ht="18" customHeight="1" spans="1:7" x14ac:dyDescent="0.25">
      <c r="A35" s="11" t="s">
        <v>213</v>
      </c>
      <c r="B35" s="5" t="s">
        <v>214</v>
      </c>
      <c r="C35" s="2">
        <v>3</v>
      </c>
      <c r="D35" s="2">
        <v>3</v>
      </c>
      <c r="E35" s="8">
        <f>IFERROR(AVERAGE(T_6_2[[#This Row],[ITEM_6.2.1]]:T_6_2[[#This Row],[ITEM_6.2.2]]),0)</f>
      </c>
      <c r="F35" s="11" t="s">
        <v>196</v>
      </c>
      <c r="G35" s="12"/>
    </row>
    <row r="36" ht="18" customHeight="1" spans="1:7" x14ac:dyDescent="0.25">
      <c r="A36" s="11" t="s">
        <v>219</v>
      </c>
      <c r="B36" s="5" t="s">
        <v>220</v>
      </c>
      <c r="C36" s="2">
        <v>3</v>
      </c>
      <c r="D36" s="2">
        <v>3</v>
      </c>
      <c r="E36" s="8">
        <f>IFERROR(AVERAGE(T_6_2[[#This Row],[ITEM_6.2.1]]:T_6_2[[#This Row],[ITEM_6.2.2]]),0)</f>
      </c>
      <c r="F36" s="11" t="s">
        <v>196</v>
      </c>
      <c r="G36" s="12"/>
    </row>
    <row r="37" ht="18" customHeight="1" spans="1:7" x14ac:dyDescent="0.25">
      <c r="A37" s="11" t="s">
        <v>225</v>
      </c>
      <c r="B37" s="5" t="s">
        <v>226</v>
      </c>
      <c r="C37" s="2">
        <v>3</v>
      </c>
      <c r="D37" s="2">
        <v>3</v>
      </c>
      <c r="E37" s="8">
        <f>IFERROR(AVERAGE(T_6_2[[#This Row],[ITEM_6.2.1]]:T_6_2[[#This Row],[ITEM_6.2.2]]),0)</f>
      </c>
      <c r="F37" s="11" t="s">
        <v>196</v>
      </c>
      <c r="G37" s="12"/>
    </row>
    <row r="38" ht="18" customHeight="1" spans="1:7" x14ac:dyDescent="0.25">
      <c r="A38" s="11" t="s">
        <v>231</v>
      </c>
      <c r="B38" s="5" t="s">
        <v>232</v>
      </c>
      <c r="C38" s="2">
        <v>3</v>
      </c>
      <c r="D38" s="2">
        <v>3</v>
      </c>
      <c r="E38" s="8">
        <f>IFERROR(AVERAGE(T_6_2[[#This Row],[ITEM_6.2.1]]:T_6_2[[#This Row],[ITEM_6.2.2]]),0)</f>
      </c>
      <c r="F38" s="11" t="s">
        <v>233</v>
      </c>
      <c r="G38" s="12"/>
    </row>
    <row r="39" ht="18" customHeight="1" spans="1:7" x14ac:dyDescent="0.25">
      <c r="A39" s="11" t="s">
        <v>238</v>
      </c>
      <c r="B39" s="5" t="s">
        <v>239</v>
      </c>
      <c r="C39" s="2">
        <v>3</v>
      </c>
      <c r="D39" s="2">
        <v>3</v>
      </c>
      <c r="E39" s="8">
        <f>IFERROR(AVERAGE(T_6_2[[#This Row],[ITEM_6.2.1]]:T_6_2[[#This Row],[ITEM_6.2.2]]),0)</f>
      </c>
      <c r="F39" s="11" t="s">
        <v>240</v>
      </c>
      <c r="G39" s="12"/>
    </row>
    <row r="40" ht="18" customHeight="1" spans="1:7" x14ac:dyDescent="0.25">
      <c r="A40" s="11" t="s">
        <v>245</v>
      </c>
      <c r="B40" s="5" t="s">
        <v>246</v>
      </c>
      <c r="C40" s="2">
        <v>3</v>
      </c>
      <c r="D40" s="2">
        <v>3</v>
      </c>
      <c r="E40" s="8">
        <f>IFERROR(AVERAGE(T_6_2[[#This Row],[ITEM_6.2.1]]:T_6_2[[#This Row],[ITEM_6.2.2]]),0)</f>
      </c>
      <c r="F40" s="11" t="s">
        <v>240</v>
      </c>
      <c r="G40" s="12"/>
    </row>
  </sheetData>
  <mergeCells count="1">
    <mergeCell ref="A1:G1"/>
  </mergeCells>
  <conditionalFormatting sqref="C3:D40">
    <cfRule type="cellIs" dxfId="7" priority="1" operator="equal">
      <formula>3</formula>
    </cfRule>
    <cfRule type="cellIs" dxfId="8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qref="C3:D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ht="24" customHeight="1" spans="1:9" x14ac:dyDescent="0.25">
      <c r="A1" s="10" t="s">
        <v>261</v>
      </c>
      <c r="B1" s="10"/>
      <c r="C1" s="10"/>
      <c r="D1" s="10"/>
      <c r="E1" s="10"/>
      <c r="F1" s="10"/>
      <c r="G1" s="10"/>
      <c r="H1" s="10"/>
      <c r="I1" s="10"/>
    </row>
    <row r="2" ht="30" customHeight="1" spans="1:9" x14ac:dyDescent="0.25">
      <c r="A2" s="1" t="s">
        <v>2</v>
      </c>
      <c r="B2" s="1" t="s">
        <v>252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256</v>
      </c>
      <c r="H2" s="1" t="s">
        <v>7</v>
      </c>
      <c r="I2" s="1" t="s">
        <v>257</v>
      </c>
    </row>
    <row r="3" ht="18" customHeight="1" spans="1:9" x14ac:dyDescent="0.25">
      <c r="A3" s="11" t="s">
        <v>24</v>
      </c>
      <c r="B3" s="5" t="s">
        <v>25</v>
      </c>
      <c r="C3" s="2"/>
      <c r="D3" s="2"/>
      <c r="E3" s="2"/>
      <c r="F3" s="2"/>
      <c r="G3" s="8">
        <f>IFERROR(AVERAGE(T_6_3[[#This Row],[ITEM_6.3.1]]:T_6_3[[#This Row],[ITEM_6.3.4]]),0)</f>
      </c>
      <c r="H3" s="11" t="s">
        <v>29</v>
      </c>
      <c r="I3" s="12"/>
    </row>
    <row r="4" ht="18" customHeight="1" spans="1:9" x14ac:dyDescent="0.25">
      <c r="A4" s="11" t="s">
        <v>32</v>
      </c>
      <c r="B4" s="5" t="s">
        <v>33</v>
      </c>
      <c r="C4" s="2"/>
      <c r="D4" s="2"/>
      <c r="E4" s="2"/>
      <c r="F4" s="2"/>
      <c r="G4" s="8">
        <f>IFERROR(AVERAGE(T_6_3[[#This Row],[ITEM_6.3.1]]:T_6_3[[#This Row],[ITEM_6.3.4]]),0)</f>
      </c>
      <c r="H4" s="11" t="s">
        <v>29</v>
      </c>
      <c r="I4" s="12"/>
    </row>
    <row r="5" ht="18" customHeight="1" spans="1:9" x14ac:dyDescent="0.25">
      <c r="A5" s="11" t="s">
        <v>34</v>
      </c>
      <c r="B5" s="5" t="s">
        <v>35</v>
      </c>
      <c r="C5" s="2"/>
      <c r="D5" s="2"/>
      <c r="E5" s="2"/>
      <c r="F5" s="2"/>
      <c r="G5" s="8">
        <f>IFERROR(AVERAGE(T_6_3[[#This Row],[ITEM_6.3.1]]:T_6_3[[#This Row],[ITEM_6.3.4]]),0)</f>
      </c>
      <c r="H5" s="11" t="s">
        <v>29</v>
      </c>
      <c r="I5" s="12"/>
    </row>
    <row r="6" ht="18" customHeight="1" spans="1:9" x14ac:dyDescent="0.25">
      <c r="A6" s="11" t="s">
        <v>36</v>
      </c>
      <c r="B6" s="5" t="s">
        <v>37</v>
      </c>
      <c r="C6" s="2"/>
      <c r="D6" s="2"/>
      <c r="E6" s="2"/>
      <c r="F6" s="2"/>
      <c r="G6" s="8">
        <f>IFERROR(AVERAGE(T_6_3[[#This Row],[ITEM_6.3.1]]:T_6_3[[#This Row],[ITEM_6.3.4]]),0)</f>
      </c>
      <c r="H6" s="11" t="s">
        <v>29</v>
      </c>
      <c r="I6" s="12"/>
    </row>
    <row r="7" ht="18" customHeight="1" spans="1:9" x14ac:dyDescent="0.25">
      <c r="A7" s="11" t="s">
        <v>38</v>
      </c>
      <c r="B7" s="5" t="s">
        <v>39</v>
      </c>
      <c r="C7" s="2"/>
      <c r="D7" s="2"/>
      <c r="E7" s="2"/>
      <c r="F7" s="2"/>
      <c r="G7" s="8">
        <f>IFERROR(AVERAGE(T_6_3[[#This Row],[ITEM_6.3.1]]:T_6_3[[#This Row],[ITEM_6.3.4]]),0)</f>
      </c>
      <c r="H7" s="11" t="s">
        <v>29</v>
      </c>
      <c r="I7" s="12"/>
    </row>
    <row r="8" ht="18" customHeight="1" spans="1:9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8">
        <f>IFERROR(AVERAGE(T_6_3[[#This Row],[ITEM_6.3.1]]:T_6_3[[#This Row],[ITEM_6.3.4]]),0)</f>
      </c>
      <c r="H8" s="11" t="s">
        <v>44</v>
      </c>
      <c r="I8" s="12"/>
    </row>
    <row r="9" ht="18" customHeight="1" spans="1:9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8">
        <f>IFERROR(AVERAGE(T_6_3[[#This Row],[ITEM_6.3.1]]:T_6_3[[#This Row],[ITEM_6.3.4]]),0)</f>
      </c>
      <c r="H9" s="11" t="s">
        <v>44</v>
      </c>
      <c r="I9" s="12"/>
    </row>
    <row r="10" ht="18" customHeight="1" spans="1:9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8">
        <f>IFERROR(AVERAGE(T_6_3[[#This Row],[ITEM_6.3.1]]:T_6_3[[#This Row],[ITEM_6.3.4]]),0)</f>
      </c>
      <c r="H10" s="11" t="s">
        <v>44</v>
      </c>
      <c r="I10" s="12"/>
    </row>
    <row r="11" ht="18" customHeight="1" spans="1:9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8">
        <f>IFERROR(AVERAGE(T_6_3[[#This Row],[ITEM_6.3.1]]:T_6_3[[#This Row],[ITEM_6.3.4]]),0)</f>
      </c>
      <c r="H11" s="11" t="s">
        <v>44</v>
      </c>
      <c r="I11" s="12"/>
    </row>
    <row r="12" ht="18" customHeight="1" spans="1:9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2">
        <v>2</v>
      </c>
      <c r="G12" s="8">
        <f>IFERROR(AVERAGE(T_6_3[[#This Row],[ITEM_6.3.1]]:T_6_3[[#This Row],[ITEM_6.3.4]]),0)</f>
      </c>
      <c r="H12" s="11" t="s">
        <v>44</v>
      </c>
      <c r="I12" s="12"/>
    </row>
    <row r="13" ht="18" customHeight="1" spans="1:9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3</v>
      </c>
      <c r="G13" s="8">
        <f>IFERROR(AVERAGE(T_6_3[[#This Row],[ITEM_6.3.1]]:T_6_3[[#This Row],[ITEM_6.3.4]]),0)</f>
      </c>
      <c r="H13" s="11" t="s">
        <v>79</v>
      </c>
      <c r="I13" s="12"/>
    </row>
    <row r="14" ht="18" customHeight="1" spans="1:9" x14ac:dyDescent="0.25">
      <c r="A14" s="11" t="s">
        <v>84</v>
      </c>
      <c r="B14" s="5" t="s">
        <v>85</v>
      </c>
      <c r="C14" s="2">
        <v>3</v>
      </c>
      <c r="D14" s="2">
        <v>2</v>
      </c>
      <c r="E14" s="2"/>
      <c r="F14" s="2"/>
      <c r="G14" s="8">
        <f>IFERROR(AVERAGE(T_6_3[[#This Row],[ITEM_6.3.1]]:T_6_3[[#This Row],[ITEM_6.3.4]]),0)</f>
      </c>
      <c r="H14" s="11" t="s">
        <v>79</v>
      </c>
      <c r="I14" s="12"/>
    </row>
    <row r="15" ht="18" customHeight="1" spans="1:9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8">
        <f>IFERROR(AVERAGE(T_6_3[[#This Row],[ITEM_6.3.1]]:T_6_3[[#This Row],[ITEM_6.3.4]]),0)</f>
      </c>
      <c r="H15" s="11" t="s">
        <v>79</v>
      </c>
      <c r="I15" s="12"/>
    </row>
    <row r="16" ht="18" customHeight="1" spans="1:9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8">
        <f>IFERROR(AVERAGE(T_6_3[[#This Row],[ITEM_6.3.1]]:T_6_3[[#This Row],[ITEM_6.3.4]]),0)</f>
      </c>
      <c r="H16" s="11" t="s">
        <v>79</v>
      </c>
      <c r="I16" s="12"/>
    </row>
    <row r="17" ht="18" customHeight="1" spans="1:9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3</v>
      </c>
      <c r="F17" s="2">
        <v>3</v>
      </c>
      <c r="G17" s="8">
        <f>IFERROR(AVERAGE(T_6_3[[#This Row],[ITEM_6.3.1]]:T_6_3[[#This Row],[ITEM_6.3.4]]),0)</f>
      </c>
      <c r="H17" s="11" t="s">
        <v>79</v>
      </c>
      <c r="I17" s="12"/>
    </row>
    <row r="18" ht="18" customHeight="1" spans="1:9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>
        <v>3</v>
      </c>
      <c r="G18" s="8">
        <f>IFERROR(AVERAGE(T_6_3[[#This Row],[ITEM_6.3.1]]:T_6_3[[#This Row],[ITEM_6.3.4]]),0)</f>
      </c>
      <c r="H18" s="11" t="s">
        <v>79</v>
      </c>
      <c r="I18" s="12"/>
    </row>
    <row r="19" ht="18" customHeight="1" spans="1:9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8">
        <f>IFERROR(AVERAGE(T_6_3[[#This Row],[ITEM_6.3.1]]:T_6_3[[#This Row],[ITEM_6.3.4]]),0)</f>
      </c>
      <c r="H19" s="11" t="s">
        <v>79</v>
      </c>
      <c r="I19" s="12"/>
    </row>
    <row r="20" ht="18" customHeight="1" spans="1:9" x14ac:dyDescent="0.25">
      <c r="A20" s="11" t="s">
        <v>120</v>
      </c>
      <c r="B20" s="5" t="s">
        <v>121</v>
      </c>
      <c r="C20" s="2">
        <v>3</v>
      </c>
      <c r="D20" s="2">
        <v>3</v>
      </c>
      <c r="E20" s="2"/>
      <c r="F20" s="2"/>
      <c r="G20" s="8">
        <f>IFERROR(AVERAGE(T_6_3[[#This Row],[ITEM_6.3.1]]:T_6_3[[#This Row],[ITEM_6.3.4]]),0)</f>
      </c>
      <c r="H20" s="11" t="s">
        <v>79</v>
      </c>
      <c r="I20" s="12"/>
    </row>
    <row r="21" ht="18" customHeight="1" spans="1:9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/>
      <c r="G21" s="8">
        <f>IFERROR(AVERAGE(T_6_3[[#This Row],[ITEM_6.3.1]]:T_6_3[[#This Row],[ITEM_6.3.4]]),0)</f>
      </c>
      <c r="H21" s="11" t="s">
        <v>79</v>
      </c>
      <c r="I21" s="12"/>
    </row>
    <row r="22" ht="18" customHeight="1" spans="1:9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8">
        <f>IFERROR(AVERAGE(T_6_3[[#This Row],[ITEM_6.3.1]]:T_6_3[[#This Row],[ITEM_6.3.4]]),0)</f>
      </c>
      <c r="H22" s="11" t="s">
        <v>79</v>
      </c>
      <c r="I22" s="12"/>
    </row>
    <row r="23" ht="18" customHeight="1" spans="1:9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/>
      <c r="G23" s="8">
        <f>IFERROR(AVERAGE(T_6_3[[#This Row],[ITEM_6.3.1]]:T_6_3[[#This Row],[ITEM_6.3.4]]),0)</f>
      </c>
      <c r="H23" s="11" t="s">
        <v>79</v>
      </c>
      <c r="I23" s="12"/>
    </row>
    <row r="24" ht="18" customHeight="1" spans="1:9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8">
        <f>IFERROR(AVERAGE(T_6_3[[#This Row],[ITEM_6.3.1]]:T_6_3[[#This Row],[ITEM_6.3.4]]),0)</f>
      </c>
      <c r="H24" s="11" t="s">
        <v>146</v>
      </c>
      <c r="I24" s="12"/>
    </row>
    <row r="25" ht="18" customHeight="1" spans="1:9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8">
        <f>IFERROR(AVERAGE(T_6_3[[#This Row],[ITEM_6.3.1]]:T_6_3[[#This Row],[ITEM_6.3.4]]),0)</f>
      </c>
      <c r="H25" s="11" t="s">
        <v>146</v>
      </c>
      <c r="I25" s="12"/>
    </row>
    <row r="26" ht="18" customHeight="1" spans="1:9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8">
        <f>IFERROR(AVERAGE(T_6_3[[#This Row],[ITEM_6.3.1]]:T_6_3[[#This Row],[ITEM_6.3.4]]),0)</f>
      </c>
      <c r="H26" s="11" t="s">
        <v>146</v>
      </c>
      <c r="I26" s="12"/>
    </row>
    <row r="27" ht="18" customHeight="1" spans="1:9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8">
        <f>IFERROR(AVERAGE(T_6_3[[#This Row],[ITEM_6.3.1]]:T_6_3[[#This Row],[ITEM_6.3.4]]),0)</f>
      </c>
      <c r="H27" s="11" t="s">
        <v>146</v>
      </c>
      <c r="I27" s="12"/>
    </row>
    <row r="28" ht="18" customHeight="1" spans="1:9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8">
        <f>IFERROR(AVERAGE(T_6_3[[#This Row],[ITEM_6.3.1]]:T_6_3[[#This Row],[ITEM_6.3.4]]),0)</f>
      </c>
      <c r="H28" s="11" t="s">
        <v>146</v>
      </c>
      <c r="I28" s="12"/>
    </row>
    <row r="29" ht="18" customHeight="1" spans="1:9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>
        <v>3</v>
      </c>
      <c r="G29" s="8">
        <f>IFERROR(AVERAGE(T_6_3[[#This Row],[ITEM_6.3.1]]:T_6_3[[#This Row],[ITEM_6.3.4]]),0)</f>
      </c>
      <c r="H29" s="11" t="s">
        <v>177</v>
      </c>
      <c r="I29" s="12"/>
    </row>
    <row r="30" ht="18" customHeight="1" spans="1:9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8">
        <f>IFERROR(AVERAGE(T_6_3[[#This Row],[ITEM_6.3.1]]:T_6_3[[#This Row],[ITEM_6.3.4]]),0)</f>
      </c>
      <c r="H30" s="11" t="s">
        <v>177</v>
      </c>
      <c r="I30" s="12"/>
    </row>
    <row r="31" ht="18" customHeight="1" spans="1:9" x14ac:dyDescent="0.25">
      <c r="A31" s="11" t="s">
        <v>188</v>
      </c>
      <c r="B31" s="5" t="s">
        <v>189</v>
      </c>
      <c r="C31" s="2"/>
      <c r="D31" s="2"/>
      <c r="E31" s="2"/>
      <c r="F31" s="2"/>
      <c r="G31" s="8">
        <f>IFERROR(AVERAGE(T_6_3[[#This Row],[ITEM_6.3.1]]:T_6_3[[#This Row],[ITEM_6.3.4]]),0)</f>
      </c>
      <c r="H31" s="11" t="s">
        <v>177</v>
      </c>
      <c r="I31" s="12"/>
    </row>
    <row r="32" ht="18" customHeight="1" spans="1:9" x14ac:dyDescent="0.25">
      <c r="A32" s="11" t="s">
        <v>194</v>
      </c>
      <c r="B32" s="5" t="s">
        <v>195</v>
      </c>
      <c r="C32" s="2">
        <v>2</v>
      </c>
      <c r="D32" s="2">
        <v>2</v>
      </c>
      <c r="E32" s="2"/>
      <c r="F32" s="2"/>
      <c r="G32" s="8">
        <f>IFERROR(AVERAGE(T_6_3[[#This Row],[ITEM_6.3.1]]:T_6_3[[#This Row],[ITEM_6.3.4]]),0)</f>
      </c>
      <c r="H32" s="11" t="s">
        <v>196</v>
      </c>
      <c r="I32" s="12"/>
    </row>
    <row r="33" ht="18" customHeight="1" spans="1:9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8">
        <f>IFERROR(AVERAGE(T_6_3[[#This Row],[ITEM_6.3.1]]:T_6_3[[#This Row],[ITEM_6.3.4]]),0)</f>
      </c>
      <c r="H33" s="11" t="s">
        <v>196</v>
      </c>
      <c r="I33" s="12"/>
    </row>
    <row r="34" ht="18" customHeight="1" spans="1:9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8">
        <f>IFERROR(AVERAGE(T_6_3[[#This Row],[ITEM_6.3.1]]:T_6_3[[#This Row],[ITEM_6.3.4]]),0)</f>
      </c>
      <c r="H34" s="11" t="s">
        <v>196</v>
      </c>
      <c r="I34" s="12"/>
    </row>
    <row r="35" ht="18" customHeight="1" spans="1:9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8">
        <f>IFERROR(AVERAGE(T_6_3[[#This Row],[ITEM_6.3.1]]:T_6_3[[#This Row],[ITEM_6.3.4]]),0)</f>
      </c>
      <c r="H35" s="11" t="s">
        <v>196</v>
      </c>
      <c r="I35" s="12"/>
    </row>
    <row r="36" ht="18" customHeight="1" spans="1:9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8">
        <f>IFERROR(AVERAGE(T_6_3[[#This Row],[ITEM_6.3.1]]:T_6_3[[#This Row],[ITEM_6.3.4]]),0)</f>
      </c>
      <c r="H36" s="11" t="s">
        <v>196</v>
      </c>
      <c r="I36" s="12"/>
    </row>
    <row r="37" ht="18" customHeight="1" spans="1:9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8">
        <f>IFERROR(AVERAGE(T_6_3[[#This Row],[ITEM_6.3.1]]:T_6_3[[#This Row],[ITEM_6.3.4]]),0)</f>
      </c>
      <c r="H37" s="11" t="s">
        <v>196</v>
      </c>
      <c r="I37" s="12"/>
    </row>
    <row r="38" ht="18" customHeight="1" spans="1:9" x14ac:dyDescent="0.25">
      <c r="A38" s="11" t="s">
        <v>231</v>
      </c>
      <c r="B38" s="5" t="s">
        <v>232</v>
      </c>
      <c r="C38" s="2">
        <v>3</v>
      </c>
      <c r="D38" s="2">
        <v>2</v>
      </c>
      <c r="E38" s="2">
        <v>3</v>
      </c>
      <c r="F38" s="2">
        <v>3</v>
      </c>
      <c r="G38" s="8">
        <f>IFERROR(AVERAGE(T_6_3[[#This Row],[ITEM_6.3.1]]:T_6_3[[#This Row],[ITEM_6.3.4]]),0)</f>
      </c>
      <c r="H38" s="11" t="s">
        <v>233</v>
      </c>
      <c r="I38" s="12"/>
    </row>
    <row r="39" ht="18" customHeight="1" spans="1:9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8">
        <f>IFERROR(AVERAGE(T_6_3[[#This Row],[ITEM_6.3.1]]:T_6_3[[#This Row],[ITEM_6.3.4]]),0)</f>
      </c>
      <c r="H39" s="11" t="s">
        <v>240</v>
      </c>
      <c r="I39" s="12"/>
    </row>
    <row r="40" ht="18" customHeight="1" spans="1:9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/>
      <c r="G40" s="8">
        <f>IFERROR(AVERAGE(T_6_3[[#This Row],[ITEM_6.3.1]]:T_6_3[[#This Row],[ITEM_6.3.4]]),0)</f>
      </c>
      <c r="H40" s="11" t="s">
        <v>240</v>
      </c>
      <c r="I40" s="12"/>
    </row>
  </sheetData>
  <mergeCells count="1">
    <mergeCell ref="A1:I1"/>
  </mergeCells>
  <conditionalFormatting sqref="C3:F40">
    <cfRule type="cellIs" dxfId="10" priority="1" operator="equal">
      <formula>3</formula>
    </cfRule>
    <cfRule type="cellIs" dxfId="11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qref="C3:F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271</v>
      </c>
      <c r="H2" s="1" t="s">
        <v>272</v>
      </c>
      <c r="I2" s="1" t="s">
        <v>273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IFERROR(AVERAGE(T_6_4[[#This Row],[ITEM_6.4.1]]:T_6_4[[#This Row],[ITEM_6.4.7]]),0)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IFERROR(AVERAGE(T_6_4[[#This Row],[ITEM_6.4.1]]:T_6_4[[#This Row],[ITEM_6.4.7]]),0)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IFERROR(AVERAGE(T_6_4[[#This Row],[ITEM_6.4.1]]:T_6_4[[#This Row],[ITEM_6.4.7]]),0)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IFERROR(AVERAGE(T_6_4[[#This Row],[ITEM_6.4.1]]:T_6_4[[#This Row],[ITEM_6.4.7]]),0)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IFERROR(AVERAGE(T_6_4[[#This Row],[ITEM_6.4.1]]:T_6_4[[#This Row],[ITEM_6.4.7]]),0)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2</v>
      </c>
      <c r="I8" s="2">
        <v>3</v>
      </c>
      <c r="J8" s="8">
        <f>IFERROR(AVERAGE(T_6_4[[#This Row],[ITEM_6.4.1]]:T_6_4[[#This Row],[ITEM_6.4.7]]),0)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2"/>
      <c r="H9" s="2"/>
      <c r="I9" s="2"/>
      <c r="J9" s="8">
        <f>IFERROR(AVERAGE(T_6_4[[#This Row],[ITEM_6.4.1]]:T_6_4[[#This Row],[ITEM_6.4.7]]),0)</f>
      </c>
      <c r="K9" s="11" t="s">
        <v>44</v>
      </c>
      <c r="L9" s="12"/>
    </row>
    <row r="10" ht="18" customHeight="1" spans="1:12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2</v>
      </c>
      <c r="F10" s="2">
        <v>3</v>
      </c>
      <c r="G10" s="2">
        <v>3</v>
      </c>
      <c r="H10" s="2">
        <v>3</v>
      </c>
      <c r="I10" s="2">
        <v>3</v>
      </c>
      <c r="J10" s="8">
        <f>IFERROR(AVERAGE(T_6_4[[#This Row],[ITEM_6.4.1]]:T_6_4[[#This Row],[ITEM_6.4.7]]),0)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8">
        <f>IFERROR(AVERAGE(T_6_4[[#This Row],[ITEM_6.4.1]]:T_6_4[[#This Row],[ITEM_6.4.7]]),0)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2</v>
      </c>
      <c r="D12" s="2">
        <v>3</v>
      </c>
      <c r="E12" s="2">
        <v>3</v>
      </c>
      <c r="F12" s="2">
        <v>3</v>
      </c>
      <c r="G12" s="2"/>
      <c r="H12" s="2"/>
      <c r="I12" s="2">
        <v>3</v>
      </c>
      <c r="J12" s="8">
        <f>IFERROR(AVERAGE(T_6_4[[#This Row],[ITEM_6.4.1]]:T_6_4[[#This Row],[ITEM_6.4.7]]),0)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3</v>
      </c>
      <c r="E13" s="2">
        <v>2</v>
      </c>
      <c r="F13" s="2">
        <v>3</v>
      </c>
      <c r="G13" s="2">
        <v>3</v>
      </c>
      <c r="H13" s="2">
        <v>2</v>
      </c>
      <c r="I13" s="2"/>
      <c r="J13" s="8">
        <f>IFERROR(AVERAGE(T_6_4[[#This Row],[ITEM_6.4.1]]:T_6_4[[#This Row],[ITEM_6.4.7]]),0)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3</v>
      </c>
      <c r="E14" s="2"/>
      <c r="F14" s="2">
        <v>3</v>
      </c>
      <c r="G14" s="2"/>
      <c r="H14" s="2"/>
      <c r="I14" s="2"/>
      <c r="J14" s="8">
        <f>IFERROR(AVERAGE(T_6_4[[#This Row],[ITEM_6.4.1]]:T_6_4[[#This Row],[ITEM_6.4.7]]),0)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2</v>
      </c>
      <c r="J15" s="8">
        <f>IFERROR(AVERAGE(T_6_4[[#This Row],[ITEM_6.4.1]]:T_6_4[[#This Row],[ITEM_6.4.7]]),0)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1</v>
      </c>
      <c r="I16" s="2">
        <v>3</v>
      </c>
      <c r="J16" s="8">
        <f>IFERROR(AVERAGE(T_6_4[[#This Row],[ITEM_6.4.1]]:T_6_4[[#This Row],[ITEM_6.4.7]]),0)</f>
      </c>
      <c r="K16" s="11" t="s">
        <v>79</v>
      </c>
      <c r="L16" s="12" t="s">
        <v>274</v>
      </c>
    </row>
    <row r="17" ht="18" customHeight="1" spans="1:12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2</v>
      </c>
      <c r="F17" s="2">
        <v>3</v>
      </c>
      <c r="G17" s="2">
        <v>2</v>
      </c>
      <c r="H17" s="2">
        <v>3</v>
      </c>
      <c r="I17" s="2"/>
      <c r="J17" s="8">
        <f>IFERROR(AVERAGE(T_6_4[[#This Row],[ITEM_6.4.1]]:T_6_4[[#This Row],[ITEM_6.4.7]]),0)</f>
      </c>
      <c r="K17" s="11" t="s">
        <v>79</v>
      </c>
      <c r="L17" s="12"/>
    </row>
    <row r="18" ht="18" customHeight="1" spans="1:12" x14ac:dyDescent="0.25">
      <c r="A18" s="11" t="s">
        <v>108</v>
      </c>
      <c r="B18" s="5" t="s">
        <v>109</v>
      </c>
      <c r="C18" s="2">
        <v>2</v>
      </c>
      <c r="D18" s="2">
        <v>3</v>
      </c>
      <c r="E18" s="2">
        <v>1</v>
      </c>
      <c r="F18" s="2">
        <v>3</v>
      </c>
      <c r="G18" s="2">
        <v>3</v>
      </c>
      <c r="H18" s="2">
        <v>3</v>
      </c>
      <c r="I18" s="2"/>
      <c r="J18" s="8">
        <f>IFERROR(AVERAGE(T_6_4[[#This Row],[ITEM_6.4.1]]:T_6_4[[#This Row],[ITEM_6.4.7]]),0)</f>
      </c>
      <c r="K18" s="11" t="s">
        <v>79</v>
      </c>
      <c r="L18" s="12" t="s">
        <v>275</v>
      </c>
    </row>
    <row r="19" ht="18" customHeight="1" spans="1:12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2"/>
      <c r="H19" s="2"/>
      <c r="I19" s="2"/>
      <c r="J19" s="8">
        <f>IFERROR(AVERAGE(T_6_4[[#This Row],[ITEM_6.4.1]]:T_6_4[[#This Row],[ITEM_6.4.7]]),0)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3</v>
      </c>
      <c r="E20" s="2"/>
      <c r="F20" s="2"/>
      <c r="G20" s="2"/>
      <c r="H20" s="2"/>
      <c r="I20" s="2"/>
      <c r="J20" s="8">
        <f>IFERROR(AVERAGE(T_6_4[[#This Row],[ITEM_6.4.1]]:T_6_4[[#This Row],[ITEM_6.4.7]]),0)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>
        <v>3</v>
      </c>
      <c r="G21" s="2"/>
      <c r="H21" s="2"/>
      <c r="I21" s="2"/>
      <c r="J21" s="8">
        <f>IFERROR(AVERAGE(T_6_4[[#This Row],[ITEM_6.4.1]]:T_6_4[[#This Row],[ITEM_6.4.7]]),0)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2</v>
      </c>
      <c r="J22" s="8">
        <f>IFERROR(AVERAGE(T_6_4[[#This Row],[ITEM_6.4.1]]:T_6_4[[#This Row],[ITEM_6.4.7]]),0)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>
        <v>3</v>
      </c>
      <c r="G23" s="2"/>
      <c r="H23" s="2"/>
      <c r="I23" s="2"/>
      <c r="J23" s="8">
        <f>IFERROR(AVERAGE(T_6_4[[#This Row],[ITEM_6.4.1]]:T_6_4[[#This Row],[ITEM_6.4.7]]),0)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IFERROR(AVERAGE(T_6_4[[#This Row],[ITEM_6.4.1]]:T_6_4[[#This Row],[ITEM_6.4.7]]),0)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IFERROR(AVERAGE(T_6_4[[#This Row],[ITEM_6.4.1]]:T_6_4[[#This Row],[ITEM_6.4.7]]),0)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IFERROR(AVERAGE(T_6_4[[#This Row],[ITEM_6.4.1]]:T_6_4[[#This Row],[ITEM_6.4.7]]),0)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8">
        <f>IFERROR(AVERAGE(T_6_4[[#This Row],[ITEM_6.4.1]]:T_6_4[[#This Row],[ITEM_6.4.7]]),0)</f>
      </c>
      <c r="K27" s="11" t="s">
        <v>146</v>
      </c>
      <c r="L27" s="12"/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8">
        <f>IFERROR(AVERAGE(T_6_4[[#This Row],[ITEM_6.4.1]]:T_6_4[[#This Row],[ITEM_6.4.7]]),0)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/>
      <c r="G29" s="2"/>
      <c r="H29" s="2"/>
      <c r="I29" s="2"/>
      <c r="J29" s="8">
        <f>IFERROR(AVERAGE(T_6_4[[#This Row],[ITEM_6.4.1]]:T_6_4[[#This Row],[ITEM_6.4.7]]),0)</f>
      </c>
      <c r="K29" s="11" t="s">
        <v>177</v>
      </c>
      <c r="L29" s="12"/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8">
        <f>IFERROR(AVERAGE(T_6_4[[#This Row],[ITEM_6.4.1]]:T_6_4[[#This Row],[ITEM_6.4.7]]),0)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/>
      <c r="F31" s="2">
        <v>3</v>
      </c>
      <c r="G31" s="2"/>
      <c r="H31" s="2"/>
      <c r="I31" s="2"/>
      <c r="J31" s="8">
        <f>IFERROR(AVERAGE(T_6_4[[#This Row],[ITEM_6.4.1]]:T_6_4[[#This Row],[ITEM_6.4.7]]),0)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2</v>
      </c>
      <c r="D32" s="2">
        <v>3</v>
      </c>
      <c r="E32" s="2"/>
      <c r="F32" s="2"/>
      <c r="G32" s="2"/>
      <c r="H32" s="2"/>
      <c r="I32" s="2"/>
      <c r="J32" s="8">
        <f>IFERROR(AVERAGE(T_6_4[[#This Row],[ITEM_6.4.1]]:T_6_4[[#This Row],[ITEM_6.4.7]]),0)</f>
      </c>
      <c r="K32" s="11" t="s">
        <v>196</v>
      </c>
      <c r="L32" s="12"/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8">
        <f>IFERROR(AVERAGE(T_6_4[[#This Row],[ITEM_6.4.1]]:T_6_4[[#This Row],[ITEM_6.4.7]]),0)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2">
        <v>2</v>
      </c>
      <c r="H34" s="2">
        <v>2</v>
      </c>
      <c r="I34" s="2">
        <v>3</v>
      </c>
      <c r="J34" s="8">
        <f>IFERROR(AVERAGE(T_6_4[[#This Row],[ITEM_6.4.1]]:T_6_4[[#This Row],[ITEM_6.4.7]]),0)</f>
      </c>
      <c r="K34" s="11" t="s">
        <v>196</v>
      </c>
      <c r="L34" s="12"/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IFERROR(AVERAGE(T_6_4[[#This Row],[ITEM_6.4.1]]:T_6_4[[#This Row],[ITEM_6.4.7]]),0)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IFERROR(AVERAGE(T_6_4[[#This Row],[ITEM_6.4.1]]:T_6_4[[#This Row],[ITEM_6.4.7]]),0)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IFERROR(AVERAGE(T_6_4[[#This Row],[ITEM_6.4.1]]:T_6_4[[#This Row],[ITEM_6.4.7]]),0)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2</v>
      </c>
      <c r="D38" s="2">
        <v>2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IFERROR(AVERAGE(T_6_4[[#This Row],[ITEM_6.4.1]]:T_6_4[[#This Row],[ITEM_6.4.7]]),0)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3</v>
      </c>
      <c r="I39" s="2"/>
      <c r="J39" s="8">
        <f>IFERROR(AVERAGE(T_6_4[[#This Row],[ITEM_6.4.1]]:T_6_4[[#This Row],[ITEM_6.4.7]]),0)</f>
      </c>
      <c r="K39" s="11" t="s">
        <v>240</v>
      </c>
      <c r="L39" s="12"/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>
        <v>3</v>
      </c>
      <c r="G40" s="2"/>
      <c r="H40" s="2"/>
      <c r="I40" s="2"/>
      <c r="J40" s="8">
        <f>IFERROR(AVERAGE(T_6_4[[#This Row],[ITEM_6.4.1]]:T_6_4[[#This Row],[ITEM_6.4.7]]),0)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3" priority="1" operator="equal">
      <formula>3</formula>
    </cfRule>
    <cfRule type="cellIs" dxfId="14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277</v>
      </c>
      <c r="D2" s="1" t="s">
        <v>278</v>
      </c>
      <c r="E2" s="1" t="s">
        <v>279</v>
      </c>
      <c r="F2" s="1" t="s">
        <v>280</v>
      </c>
      <c r="G2" s="1" t="s">
        <v>281</v>
      </c>
      <c r="H2" s="1" t="s">
        <v>282</v>
      </c>
      <c r="I2" s="1" t="s">
        <v>283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IFERROR(AVERAGE(T_6_5[[#This Row],[ITEM_6.5.1]]:T_6_5[[#This Row],[ITEM_6.5.7]]),0)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IFERROR(AVERAGE(T_6_5[[#This Row],[ITEM_6.5.1]]:T_6_5[[#This Row],[ITEM_6.5.7]]),0)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IFERROR(AVERAGE(T_6_5[[#This Row],[ITEM_6.5.1]]:T_6_5[[#This Row],[ITEM_6.5.7]]),0)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IFERROR(AVERAGE(T_6_5[[#This Row],[ITEM_6.5.1]]:T_6_5[[#This Row],[ITEM_6.5.7]]),0)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IFERROR(AVERAGE(T_6_5[[#This Row],[ITEM_6.5.1]]:T_6_5[[#This Row],[ITEM_6.5.7]]),0)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2</v>
      </c>
      <c r="G8" s="2">
        <v>2</v>
      </c>
      <c r="H8" s="2">
        <v>3</v>
      </c>
      <c r="I8" s="2">
        <v>3</v>
      </c>
      <c r="J8" s="8">
        <f>IFERROR(AVERAGE(T_6_5[[#This Row],[ITEM_6.5.1]]:T_6_5[[#This Row],[ITEM_6.5.7]]),0)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1</v>
      </c>
      <c r="D9" s="2">
        <v>1</v>
      </c>
      <c r="E9" s="2">
        <v>2</v>
      </c>
      <c r="F9" s="2">
        <v>2</v>
      </c>
      <c r="G9" s="2">
        <v>2</v>
      </c>
      <c r="H9" s="2">
        <v>2</v>
      </c>
      <c r="I9" s="2">
        <v>3</v>
      </c>
      <c r="J9" s="8">
        <f>IFERROR(AVERAGE(T_6_5[[#This Row],[ITEM_6.5.1]]:T_6_5[[#This Row],[ITEM_6.5.7]]),0)</f>
      </c>
      <c r="K9" s="11" t="s">
        <v>44</v>
      </c>
      <c r="L9" s="12" t="s">
        <v>284</v>
      </c>
    </row>
    <row r="10" ht="18" customHeight="1" spans="1:12" x14ac:dyDescent="0.25">
      <c r="A10" s="11" t="s">
        <v>59</v>
      </c>
      <c r="B10" s="5" t="s">
        <v>60</v>
      </c>
      <c r="C10" s="2">
        <v>2</v>
      </c>
      <c r="D10" s="2">
        <v>2</v>
      </c>
      <c r="E10" s="2">
        <v>3</v>
      </c>
      <c r="F10" s="2">
        <v>3</v>
      </c>
      <c r="G10" s="2">
        <v>3</v>
      </c>
      <c r="H10" s="2">
        <v>2</v>
      </c>
      <c r="I10" s="2">
        <v>2</v>
      </c>
      <c r="J10" s="8">
        <f>IFERROR(AVERAGE(T_6_5[[#This Row],[ITEM_6.5.1]]:T_6_5[[#This Row],[ITEM_6.5.7]]),0)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2</v>
      </c>
      <c r="E11" s="2">
        <v>3</v>
      </c>
      <c r="F11" s="2">
        <v>2</v>
      </c>
      <c r="G11" s="2">
        <v>2</v>
      </c>
      <c r="H11" s="2">
        <v>3</v>
      </c>
      <c r="I11" s="2">
        <v>3</v>
      </c>
      <c r="J11" s="8">
        <f>IFERROR(AVERAGE(T_6_5[[#This Row],[ITEM_6.5.1]]:T_6_5[[#This Row],[ITEM_6.5.7]]),0)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3</v>
      </c>
      <c r="D12" s="2">
        <v>2</v>
      </c>
      <c r="E12" s="2">
        <v>3</v>
      </c>
      <c r="F12" s="2">
        <v>2</v>
      </c>
      <c r="G12" s="2">
        <v>3</v>
      </c>
      <c r="H12" s="2">
        <v>3</v>
      </c>
      <c r="I12" s="2">
        <v>3</v>
      </c>
      <c r="J12" s="8">
        <f>IFERROR(AVERAGE(T_6_5[[#This Row],[ITEM_6.5.1]]:T_6_5[[#This Row],[ITEM_6.5.7]]),0)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2</v>
      </c>
      <c r="G13" s="2">
        <v>3</v>
      </c>
      <c r="H13" s="2">
        <v>3</v>
      </c>
      <c r="I13" s="2">
        <v>2</v>
      </c>
      <c r="J13" s="8">
        <f>IFERROR(AVERAGE(T_6_5[[#This Row],[ITEM_6.5.1]]:T_6_5[[#This Row],[ITEM_6.5.7]]),0)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2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8">
        <f>IFERROR(AVERAGE(T_6_5[[#This Row],[ITEM_6.5.1]]:T_6_5[[#This Row],[ITEM_6.5.7]]),0)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2</v>
      </c>
      <c r="D15" s="2">
        <v>2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8">
        <f>IFERROR(AVERAGE(T_6_5[[#This Row],[ITEM_6.5.1]]:T_6_5[[#This Row],[ITEM_6.5.7]]),0)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2</v>
      </c>
      <c r="E16" s="2">
        <v>3</v>
      </c>
      <c r="F16" s="2">
        <v>3</v>
      </c>
      <c r="G16" s="2">
        <v>3</v>
      </c>
      <c r="H16" s="2">
        <v>3</v>
      </c>
      <c r="I16" s="2">
        <v>2</v>
      </c>
      <c r="J16" s="8">
        <f>IFERROR(AVERAGE(T_6_5[[#This Row],[ITEM_6.5.1]]:T_6_5[[#This Row],[ITEM_6.5.7]]),0)</f>
      </c>
      <c r="K16" s="11" t="s">
        <v>79</v>
      </c>
      <c r="L16" s="12"/>
    </row>
    <row r="17" ht="18" customHeight="1" spans="1:12" x14ac:dyDescent="0.25">
      <c r="A17" s="11" t="s">
        <v>102</v>
      </c>
      <c r="B17" s="5" t="s">
        <v>103</v>
      </c>
      <c r="C17" s="2">
        <v>1</v>
      </c>
      <c r="D17" s="2">
        <v>1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8">
        <f>IFERROR(AVERAGE(T_6_5[[#This Row],[ITEM_6.5.1]]:T_6_5[[#This Row],[ITEM_6.5.7]]),0)</f>
      </c>
      <c r="K17" s="11" t="s">
        <v>79</v>
      </c>
      <c r="L17" s="12" t="s">
        <v>284</v>
      </c>
    </row>
    <row r="18" ht="18" customHeight="1" spans="1:12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8">
        <f>IFERROR(AVERAGE(T_6_5[[#This Row],[ITEM_6.5.1]]:T_6_5[[#This Row],[ITEM_6.5.7]]),0)</f>
      </c>
      <c r="K18" s="11" t="s">
        <v>79</v>
      </c>
      <c r="L18" s="12"/>
    </row>
    <row r="19" ht="18" customHeight="1" spans="1:12" x14ac:dyDescent="0.25">
      <c r="A19" s="11" t="s">
        <v>114</v>
      </c>
      <c r="B19" s="5" t="s">
        <v>115</v>
      </c>
      <c r="C19" s="2">
        <v>2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8">
        <f>IFERROR(AVERAGE(T_6_5[[#This Row],[ITEM_6.5.1]]:T_6_5[[#This Row],[ITEM_6.5.7]]),0)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2</v>
      </c>
      <c r="E20" s="2">
        <v>3</v>
      </c>
      <c r="F20" s="2">
        <v>3</v>
      </c>
      <c r="G20" s="2">
        <v>2</v>
      </c>
      <c r="H20" s="2">
        <v>3</v>
      </c>
      <c r="I20" s="2">
        <v>2</v>
      </c>
      <c r="J20" s="8">
        <f>IFERROR(AVERAGE(T_6_5[[#This Row],[ITEM_6.5.1]]:T_6_5[[#This Row],[ITEM_6.5.7]]),0)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8">
        <f>IFERROR(AVERAGE(T_6_5[[#This Row],[ITEM_6.5.1]]:T_6_5[[#This Row],[ITEM_6.5.7]]),0)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2</v>
      </c>
      <c r="G22" s="2">
        <v>3</v>
      </c>
      <c r="H22" s="2">
        <v>3</v>
      </c>
      <c r="I22" s="2">
        <v>2</v>
      </c>
      <c r="J22" s="8">
        <f>IFERROR(AVERAGE(T_6_5[[#This Row],[ITEM_6.5.1]]:T_6_5[[#This Row],[ITEM_6.5.7]]),0)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2">
        <v>2</v>
      </c>
      <c r="G23" s="2">
        <v>3</v>
      </c>
      <c r="H23" s="2">
        <v>3</v>
      </c>
      <c r="I23" s="2">
        <v>3</v>
      </c>
      <c r="J23" s="8">
        <f>IFERROR(AVERAGE(T_6_5[[#This Row],[ITEM_6.5.1]]:T_6_5[[#This Row],[ITEM_6.5.7]]),0)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IFERROR(AVERAGE(T_6_5[[#This Row],[ITEM_6.5.1]]:T_6_5[[#This Row],[ITEM_6.5.7]]),0)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IFERROR(AVERAGE(T_6_5[[#This Row],[ITEM_6.5.1]]:T_6_5[[#This Row],[ITEM_6.5.7]]),0)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IFERROR(AVERAGE(T_6_5[[#This Row],[ITEM_6.5.1]]:T_6_5[[#This Row],[ITEM_6.5.7]]),0)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2</v>
      </c>
      <c r="E27" s="2">
        <v>1</v>
      </c>
      <c r="F27" s="2">
        <v>1</v>
      </c>
      <c r="G27" s="2">
        <v>2</v>
      </c>
      <c r="H27" s="2">
        <v>3</v>
      </c>
      <c r="I27" s="2">
        <v>3</v>
      </c>
      <c r="J27" s="8">
        <f>IFERROR(AVERAGE(T_6_5[[#This Row],[ITEM_6.5.1]]:T_6_5[[#This Row],[ITEM_6.5.7]]),0)</f>
      </c>
      <c r="K27" s="11" t="s">
        <v>146</v>
      </c>
      <c r="L27" s="12" t="s">
        <v>285</v>
      </c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2</v>
      </c>
      <c r="E28" s="2">
        <v>2</v>
      </c>
      <c r="F28" s="2">
        <v>2</v>
      </c>
      <c r="G28" s="2">
        <v>3</v>
      </c>
      <c r="H28" s="2">
        <v>3</v>
      </c>
      <c r="I28" s="2">
        <v>3</v>
      </c>
      <c r="J28" s="8">
        <f>IFERROR(AVERAGE(T_6_5[[#This Row],[ITEM_6.5.1]]:T_6_5[[#This Row],[ITEM_6.5.7]]),0)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2</v>
      </c>
      <c r="D29" s="2">
        <v>1</v>
      </c>
      <c r="E29" s="2">
        <v>3</v>
      </c>
      <c r="F29" s="2">
        <v>2</v>
      </c>
      <c r="G29" s="2">
        <v>3</v>
      </c>
      <c r="H29" s="2">
        <v>3</v>
      </c>
      <c r="I29" s="2">
        <v>3</v>
      </c>
      <c r="J29" s="8">
        <f>IFERROR(AVERAGE(T_6_5[[#This Row],[ITEM_6.5.1]]:T_6_5[[#This Row],[ITEM_6.5.7]]),0)</f>
      </c>
      <c r="K29" s="11" t="s">
        <v>177</v>
      </c>
      <c r="L29" s="12" t="s">
        <v>286</v>
      </c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2</v>
      </c>
      <c r="F30" s="2">
        <v>2</v>
      </c>
      <c r="G30" s="2">
        <v>3</v>
      </c>
      <c r="H30" s="2">
        <v>3</v>
      </c>
      <c r="I30" s="2"/>
      <c r="J30" s="8">
        <f>IFERROR(AVERAGE(T_6_5[[#This Row],[ITEM_6.5.1]]:T_6_5[[#This Row],[ITEM_6.5.7]]),0)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2">
        <v>2</v>
      </c>
      <c r="G31" s="2"/>
      <c r="H31" s="2"/>
      <c r="I31" s="2"/>
      <c r="J31" s="8">
        <f>IFERROR(AVERAGE(T_6_5[[#This Row],[ITEM_6.5.1]]:T_6_5[[#This Row],[ITEM_6.5.7]]),0)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1</v>
      </c>
      <c r="D32" s="2"/>
      <c r="E32" s="2">
        <v>3</v>
      </c>
      <c r="F32" s="2">
        <v>1</v>
      </c>
      <c r="G32" s="2">
        <v>3</v>
      </c>
      <c r="H32" s="2">
        <v>2</v>
      </c>
      <c r="I32" s="2">
        <v>3</v>
      </c>
      <c r="J32" s="8">
        <f>IFERROR(AVERAGE(T_6_5[[#This Row],[ITEM_6.5.1]]:T_6_5[[#This Row],[ITEM_6.5.7]]),0)</f>
      </c>
      <c r="K32" s="11" t="s">
        <v>196</v>
      </c>
      <c r="L32" s="12" t="s">
        <v>287</v>
      </c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2</v>
      </c>
      <c r="G33" s="2">
        <v>3</v>
      </c>
      <c r="H33" s="2">
        <v>3</v>
      </c>
      <c r="I33" s="2">
        <v>3</v>
      </c>
      <c r="J33" s="8">
        <f>IFERROR(AVERAGE(T_6_5[[#This Row],[ITEM_6.5.1]]:T_6_5[[#This Row],[ITEM_6.5.7]]),0)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1</v>
      </c>
      <c r="F34" s="2">
        <v>1</v>
      </c>
      <c r="G34" s="2">
        <v>3</v>
      </c>
      <c r="H34" s="2">
        <v>3</v>
      </c>
      <c r="I34" s="2">
        <v>3</v>
      </c>
      <c r="J34" s="8">
        <f>IFERROR(AVERAGE(T_6_5[[#This Row],[ITEM_6.5.1]]:T_6_5[[#This Row],[ITEM_6.5.7]]),0)</f>
      </c>
      <c r="K34" s="11" t="s">
        <v>196</v>
      </c>
      <c r="L34" s="12" t="s">
        <v>285</v>
      </c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IFERROR(AVERAGE(T_6_5[[#This Row],[ITEM_6.5.1]]:T_6_5[[#This Row],[ITEM_6.5.7]]),0)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IFERROR(AVERAGE(T_6_5[[#This Row],[ITEM_6.5.1]]:T_6_5[[#This Row],[ITEM_6.5.7]]),0)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IFERROR(AVERAGE(T_6_5[[#This Row],[ITEM_6.5.1]]:T_6_5[[#This Row],[ITEM_6.5.7]]),0)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IFERROR(AVERAGE(T_6_5[[#This Row],[ITEM_6.5.1]]:T_6_5[[#This Row],[ITEM_6.5.7]]),0)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1</v>
      </c>
      <c r="D39" s="2">
        <v>1</v>
      </c>
      <c r="E39" s="2">
        <v>3</v>
      </c>
      <c r="F39" s="2">
        <v>1</v>
      </c>
      <c r="G39" s="2">
        <v>3</v>
      </c>
      <c r="H39" s="2">
        <v>3</v>
      </c>
      <c r="I39" s="2">
        <v>3</v>
      </c>
      <c r="J39" s="8">
        <f>IFERROR(AVERAGE(T_6_5[[#This Row],[ITEM_6.5.1]]:T_6_5[[#This Row],[ITEM_6.5.7]]),0)</f>
      </c>
      <c r="K39" s="11" t="s">
        <v>240</v>
      </c>
      <c r="L39" s="12" t="s">
        <v>288</v>
      </c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2">
        <v>2</v>
      </c>
      <c r="G40" s="2">
        <v>3</v>
      </c>
      <c r="H40" s="2">
        <v>3</v>
      </c>
      <c r="I40" s="2">
        <v>3</v>
      </c>
      <c r="J40" s="8">
        <f>IFERROR(AVERAGE(T_6_5[[#This Row],[ITEM_6.5.1]]:T_6_5[[#This Row],[ITEM_6.5.7]]),0)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6" priority="1" operator="equal">
      <formula>3</formula>
    </cfRule>
    <cfRule type="cellIs" dxfId="17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T_DOC1[[#This Row],[TOTAL_DOCENTES]]-T_DOC1[[#This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T_DOC1[[#This Row],[TOTAL_DOCENTES]]-T_DOC1[[#This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T_DOC1[[#This Row],[TOTAL_DOCENTES]]-T_DOC1[[#This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T_DOC1[[#This Row],[TOTAL_DOCENTES]]-T_DOC1[[#This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T_DOC1[[#This Row],[TOTAL_DOCENTES]]-T_DOC1[[#This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8</v>
      </c>
      <c r="F8" s="19">
        <f>T_DOC1[[#This Row],[TOTAL_DOCENTES]]-T_DOC1[[#This Row],[DOCENTES_MONITOREADOS]]</f>
      </c>
      <c r="G8" s="20">
        <v>0</v>
      </c>
      <c r="H8" s="20">
        <v>2</v>
      </c>
      <c r="I8" s="20">
        <v>4</v>
      </c>
      <c r="J8" s="20">
        <v>2</v>
      </c>
      <c r="K8" s="20">
        <v>0</v>
      </c>
      <c r="L8" s="20">
        <v>3</v>
      </c>
      <c r="M8" s="20">
        <v>3</v>
      </c>
      <c r="N8" s="20">
        <v>2</v>
      </c>
      <c r="O8" s="20">
        <v>0</v>
      </c>
      <c r="P8" s="20">
        <v>2</v>
      </c>
      <c r="Q8" s="20">
        <v>4</v>
      </c>
      <c r="R8" s="20">
        <v>2</v>
      </c>
      <c r="S8" s="20">
        <v>0</v>
      </c>
      <c r="T8" s="20">
        <v>1</v>
      </c>
      <c r="U8" s="20">
        <v>5</v>
      </c>
      <c r="V8" s="20">
        <v>2</v>
      </c>
      <c r="W8" s="20">
        <v>0</v>
      </c>
      <c r="X8" s="20">
        <v>2</v>
      </c>
      <c r="Y8" s="20">
        <v>4</v>
      </c>
      <c r="Z8" s="20">
        <v>2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18</v>
      </c>
      <c r="F9" s="19">
        <f>T_DOC1[[#This Row],[TOTAL_DOCENTES]]-T_DOC1[[#This Row],[DOCENTES_MONITOREADOS]]</f>
      </c>
      <c r="G9" s="20">
        <v>0</v>
      </c>
      <c r="H9" s="20">
        <v>4</v>
      </c>
      <c r="I9" s="20">
        <v>10</v>
      </c>
      <c r="J9" s="20">
        <v>4</v>
      </c>
      <c r="K9" s="20">
        <v>0</v>
      </c>
      <c r="L9" s="20">
        <v>5</v>
      </c>
      <c r="M9" s="20">
        <v>9</v>
      </c>
      <c r="N9" s="20">
        <v>4</v>
      </c>
      <c r="O9" s="20">
        <v>0</v>
      </c>
      <c r="P9" s="20">
        <v>4</v>
      </c>
      <c r="Q9" s="20">
        <v>10</v>
      </c>
      <c r="R9" s="20">
        <v>4</v>
      </c>
      <c r="S9" s="20">
        <v>0</v>
      </c>
      <c r="T9" s="20">
        <v>2</v>
      </c>
      <c r="U9" s="20">
        <v>12</v>
      </c>
      <c r="V9" s="20">
        <v>4</v>
      </c>
      <c r="W9" s="20">
        <v>0</v>
      </c>
      <c r="X9" s="20">
        <v>3</v>
      </c>
      <c r="Y9" s="20">
        <v>11</v>
      </c>
      <c r="Z9" s="20">
        <v>4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20</v>
      </c>
      <c r="F10" s="19">
        <f>T_DOC1[[#This Row],[TOTAL_DOCENTES]]-T_DOC1[[#This Row],[DOCENTES_MONITOREADOS]]</f>
      </c>
      <c r="G10" s="20">
        <v>0</v>
      </c>
      <c r="H10" s="20">
        <v>5</v>
      </c>
      <c r="I10" s="20">
        <v>10</v>
      </c>
      <c r="J10" s="20">
        <v>5</v>
      </c>
      <c r="K10" s="20">
        <v>0</v>
      </c>
      <c r="L10" s="20">
        <v>6</v>
      </c>
      <c r="M10" s="20">
        <v>9</v>
      </c>
      <c r="N10" s="20">
        <v>5</v>
      </c>
      <c r="O10" s="20">
        <v>0</v>
      </c>
      <c r="P10" s="20">
        <v>5</v>
      </c>
      <c r="Q10" s="20">
        <v>10</v>
      </c>
      <c r="R10" s="20">
        <v>5</v>
      </c>
      <c r="S10" s="20">
        <v>0</v>
      </c>
      <c r="T10" s="20">
        <v>3</v>
      </c>
      <c r="U10" s="20">
        <v>12</v>
      </c>
      <c r="V10" s="20">
        <v>5</v>
      </c>
      <c r="W10" s="20">
        <v>0</v>
      </c>
      <c r="X10" s="20">
        <v>4</v>
      </c>
      <c r="Y10" s="20">
        <v>11</v>
      </c>
      <c r="Z10" s="20">
        <v>5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8</v>
      </c>
      <c r="F11" s="19">
        <f>T_DOC1[[#This Row],[TOTAL_DOCENTES]]-T_DOC1[[#This Row],[DOCENTES_MONITOREADOS]]</f>
      </c>
      <c r="G11" s="20">
        <v>0</v>
      </c>
      <c r="H11" s="20">
        <v>2</v>
      </c>
      <c r="I11" s="20">
        <v>4</v>
      </c>
      <c r="J11" s="20">
        <v>2</v>
      </c>
      <c r="K11" s="20">
        <v>0</v>
      </c>
      <c r="L11" s="20">
        <v>3</v>
      </c>
      <c r="M11" s="20">
        <v>3</v>
      </c>
      <c r="N11" s="20">
        <v>2</v>
      </c>
      <c r="O11" s="20">
        <v>0</v>
      </c>
      <c r="P11" s="20">
        <v>2</v>
      </c>
      <c r="Q11" s="20">
        <v>4</v>
      </c>
      <c r="R11" s="20">
        <v>2</v>
      </c>
      <c r="S11" s="20">
        <v>0</v>
      </c>
      <c r="T11" s="20">
        <v>1</v>
      </c>
      <c r="U11" s="20">
        <v>5</v>
      </c>
      <c r="V11" s="20">
        <v>2</v>
      </c>
      <c r="W11" s="20">
        <v>0</v>
      </c>
      <c r="X11" s="20">
        <v>2</v>
      </c>
      <c r="Y11" s="20">
        <v>4</v>
      </c>
      <c r="Z11" s="20">
        <v>2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18</v>
      </c>
      <c r="F12" s="19">
        <f>T_DOC1[[#This Row],[TOTAL_DOCENTES]]-T_DOC1[[#This Row],[DOCENTES_MONITOREADOS]]</f>
      </c>
      <c r="G12" s="20">
        <v>0</v>
      </c>
      <c r="H12" s="20">
        <v>4</v>
      </c>
      <c r="I12" s="20">
        <v>10</v>
      </c>
      <c r="J12" s="20">
        <v>4</v>
      </c>
      <c r="K12" s="20">
        <v>0</v>
      </c>
      <c r="L12" s="20">
        <v>5</v>
      </c>
      <c r="M12" s="20">
        <v>9</v>
      </c>
      <c r="N12" s="20">
        <v>4</v>
      </c>
      <c r="O12" s="20">
        <v>0</v>
      </c>
      <c r="P12" s="20">
        <v>4</v>
      </c>
      <c r="Q12" s="20">
        <v>10</v>
      </c>
      <c r="R12" s="20">
        <v>4</v>
      </c>
      <c r="S12" s="20">
        <v>0</v>
      </c>
      <c r="T12" s="20">
        <v>2</v>
      </c>
      <c r="U12" s="20">
        <v>12</v>
      </c>
      <c r="V12" s="20">
        <v>4</v>
      </c>
      <c r="W12" s="20">
        <v>0</v>
      </c>
      <c r="X12" s="20">
        <v>3</v>
      </c>
      <c r="Y12" s="20">
        <v>11</v>
      </c>
      <c r="Z12" s="20">
        <v>4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20</v>
      </c>
      <c r="F13" s="19">
        <f>T_DOC1[[#This Row],[TOTAL_DOCENTES]]-T_DOC1[[#This Row],[DOCENTES_MONITOREADOS]]</f>
      </c>
      <c r="G13" s="20">
        <v>0</v>
      </c>
      <c r="H13" s="20">
        <v>5</v>
      </c>
      <c r="I13" s="20">
        <v>10</v>
      </c>
      <c r="J13" s="20">
        <v>5</v>
      </c>
      <c r="K13" s="20">
        <v>0</v>
      </c>
      <c r="L13" s="20">
        <v>6</v>
      </c>
      <c r="M13" s="20">
        <v>9</v>
      </c>
      <c r="N13" s="20">
        <v>5</v>
      </c>
      <c r="O13" s="20">
        <v>0</v>
      </c>
      <c r="P13" s="20">
        <v>5</v>
      </c>
      <c r="Q13" s="20">
        <v>10</v>
      </c>
      <c r="R13" s="20">
        <v>5</v>
      </c>
      <c r="S13" s="20">
        <v>0</v>
      </c>
      <c r="T13" s="20">
        <v>3</v>
      </c>
      <c r="U13" s="20">
        <v>12</v>
      </c>
      <c r="V13" s="20">
        <v>5</v>
      </c>
      <c r="W13" s="20">
        <v>0</v>
      </c>
      <c r="X13" s="20">
        <v>4</v>
      </c>
      <c r="Y13" s="20">
        <v>11</v>
      </c>
      <c r="Z13" s="20">
        <v>5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8</v>
      </c>
      <c r="F14" s="19">
        <f>T_DOC1[[#This Row],[TOTAL_DOCENTES]]-T_DOC1[[#This Row],[DOCENTES_MONITOREADOS]]</f>
      </c>
      <c r="G14" s="20">
        <v>0</v>
      </c>
      <c r="H14" s="20">
        <v>2</v>
      </c>
      <c r="I14" s="20">
        <v>4</v>
      </c>
      <c r="J14" s="20">
        <v>2</v>
      </c>
      <c r="K14" s="20">
        <v>0</v>
      </c>
      <c r="L14" s="20">
        <v>3</v>
      </c>
      <c r="M14" s="20">
        <v>3</v>
      </c>
      <c r="N14" s="20">
        <v>2</v>
      </c>
      <c r="O14" s="20">
        <v>0</v>
      </c>
      <c r="P14" s="20">
        <v>2</v>
      </c>
      <c r="Q14" s="20">
        <v>4</v>
      </c>
      <c r="R14" s="20">
        <v>2</v>
      </c>
      <c r="S14" s="20">
        <v>0</v>
      </c>
      <c r="T14" s="20">
        <v>1</v>
      </c>
      <c r="U14" s="20">
        <v>5</v>
      </c>
      <c r="V14" s="20">
        <v>2</v>
      </c>
      <c r="W14" s="20">
        <v>0</v>
      </c>
      <c r="X14" s="20">
        <v>2</v>
      </c>
      <c r="Y14" s="20">
        <v>4</v>
      </c>
      <c r="Z14" s="20">
        <v>2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18</v>
      </c>
      <c r="F15" s="19">
        <f>T_DOC1[[#This Row],[TOTAL_DOCENTES]]-T_DOC1[[#This Row],[DOCENTES_MONITOREADOS]]</f>
      </c>
      <c r="G15" s="20">
        <v>0</v>
      </c>
      <c r="H15" s="20">
        <v>4</v>
      </c>
      <c r="I15" s="20">
        <v>10</v>
      </c>
      <c r="J15" s="20">
        <v>4</v>
      </c>
      <c r="K15" s="20">
        <v>0</v>
      </c>
      <c r="L15" s="20">
        <v>5</v>
      </c>
      <c r="M15" s="20">
        <v>9</v>
      </c>
      <c r="N15" s="20">
        <v>4</v>
      </c>
      <c r="O15" s="20">
        <v>0</v>
      </c>
      <c r="P15" s="20">
        <v>4</v>
      </c>
      <c r="Q15" s="20">
        <v>10</v>
      </c>
      <c r="R15" s="20">
        <v>4</v>
      </c>
      <c r="S15" s="20">
        <v>0</v>
      </c>
      <c r="T15" s="20">
        <v>2</v>
      </c>
      <c r="U15" s="20">
        <v>12</v>
      </c>
      <c r="V15" s="20">
        <v>4</v>
      </c>
      <c r="W15" s="20">
        <v>0</v>
      </c>
      <c r="X15" s="20">
        <v>3</v>
      </c>
      <c r="Y15" s="20">
        <v>11</v>
      </c>
      <c r="Z15" s="20">
        <v>4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20</v>
      </c>
      <c r="F16" s="19">
        <f>T_DOC1[[#This Row],[TOTAL_DOCENTES]]-T_DOC1[[#This Row],[DOCENTES_MONITOREADOS]]</f>
      </c>
      <c r="G16" s="20">
        <v>0</v>
      </c>
      <c r="H16" s="20">
        <v>5</v>
      </c>
      <c r="I16" s="20">
        <v>10</v>
      </c>
      <c r="J16" s="20">
        <v>5</v>
      </c>
      <c r="K16" s="20">
        <v>0</v>
      </c>
      <c r="L16" s="20">
        <v>6</v>
      </c>
      <c r="M16" s="20">
        <v>9</v>
      </c>
      <c r="N16" s="20">
        <v>5</v>
      </c>
      <c r="O16" s="20">
        <v>0</v>
      </c>
      <c r="P16" s="20">
        <v>5</v>
      </c>
      <c r="Q16" s="20">
        <v>10</v>
      </c>
      <c r="R16" s="20">
        <v>5</v>
      </c>
      <c r="S16" s="20">
        <v>0</v>
      </c>
      <c r="T16" s="20">
        <v>3</v>
      </c>
      <c r="U16" s="20">
        <v>12</v>
      </c>
      <c r="V16" s="20">
        <v>5</v>
      </c>
      <c r="W16" s="20">
        <v>0</v>
      </c>
      <c r="X16" s="20">
        <v>4</v>
      </c>
      <c r="Y16" s="20">
        <v>11</v>
      </c>
      <c r="Z16" s="20">
        <v>5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8</v>
      </c>
      <c r="F17" s="19">
        <f>T_DOC1[[#This Row],[TOTAL_DOCENTES]]-T_DOC1[[#This Row],[DOCENTES_MONITOREADOS]]</f>
      </c>
      <c r="G17" s="20">
        <v>0</v>
      </c>
      <c r="H17" s="20">
        <v>2</v>
      </c>
      <c r="I17" s="20">
        <v>4</v>
      </c>
      <c r="J17" s="20">
        <v>2</v>
      </c>
      <c r="K17" s="20">
        <v>0</v>
      </c>
      <c r="L17" s="20">
        <v>3</v>
      </c>
      <c r="M17" s="20">
        <v>3</v>
      </c>
      <c r="N17" s="20">
        <v>2</v>
      </c>
      <c r="O17" s="20">
        <v>0</v>
      </c>
      <c r="P17" s="20">
        <v>2</v>
      </c>
      <c r="Q17" s="20">
        <v>4</v>
      </c>
      <c r="R17" s="20">
        <v>2</v>
      </c>
      <c r="S17" s="20">
        <v>0</v>
      </c>
      <c r="T17" s="20">
        <v>1</v>
      </c>
      <c r="U17" s="20">
        <v>5</v>
      </c>
      <c r="V17" s="20">
        <v>2</v>
      </c>
      <c r="W17" s="20">
        <v>0</v>
      </c>
      <c r="X17" s="20">
        <v>2</v>
      </c>
      <c r="Y17" s="20">
        <v>4</v>
      </c>
      <c r="Z17" s="20">
        <v>2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18</v>
      </c>
      <c r="F18" s="19">
        <f>T_DOC1[[#This Row],[TOTAL_DOCENTES]]-T_DOC1[[#This Row],[DOCENTES_MONITOREADOS]]</f>
      </c>
      <c r="G18" s="20">
        <v>0</v>
      </c>
      <c r="H18" s="20">
        <v>4</v>
      </c>
      <c r="I18" s="20">
        <v>10</v>
      </c>
      <c r="J18" s="20">
        <v>4</v>
      </c>
      <c r="K18" s="20">
        <v>0</v>
      </c>
      <c r="L18" s="20">
        <v>5</v>
      </c>
      <c r="M18" s="20">
        <v>9</v>
      </c>
      <c r="N18" s="20">
        <v>4</v>
      </c>
      <c r="O18" s="20">
        <v>0</v>
      </c>
      <c r="P18" s="20">
        <v>4</v>
      </c>
      <c r="Q18" s="20">
        <v>10</v>
      </c>
      <c r="R18" s="20">
        <v>4</v>
      </c>
      <c r="S18" s="20">
        <v>0</v>
      </c>
      <c r="T18" s="20">
        <v>2</v>
      </c>
      <c r="U18" s="20">
        <v>12</v>
      </c>
      <c r="V18" s="20">
        <v>4</v>
      </c>
      <c r="W18" s="20">
        <v>0</v>
      </c>
      <c r="X18" s="20">
        <v>3</v>
      </c>
      <c r="Y18" s="20">
        <v>11</v>
      </c>
      <c r="Z18" s="20">
        <v>4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20</v>
      </c>
      <c r="F19" s="19">
        <f>T_DOC1[[#This Row],[TOTAL_DOCENTES]]-T_DOC1[[#This Row],[DOCENTES_MONITOREADOS]]</f>
      </c>
      <c r="G19" s="20">
        <v>0</v>
      </c>
      <c r="H19" s="20">
        <v>5</v>
      </c>
      <c r="I19" s="20">
        <v>10</v>
      </c>
      <c r="J19" s="20">
        <v>5</v>
      </c>
      <c r="K19" s="20">
        <v>0</v>
      </c>
      <c r="L19" s="20">
        <v>6</v>
      </c>
      <c r="M19" s="20">
        <v>9</v>
      </c>
      <c r="N19" s="20">
        <v>5</v>
      </c>
      <c r="O19" s="20">
        <v>0</v>
      </c>
      <c r="P19" s="20">
        <v>5</v>
      </c>
      <c r="Q19" s="20">
        <v>10</v>
      </c>
      <c r="R19" s="20">
        <v>5</v>
      </c>
      <c r="S19" s="20">
        <v>0</v>
      </c>
      <c r="T19" s="20">
        <v>3</v>
      </c>
      <c r="U19" s="20">
        <v>12</v>
      </c>
      <c r="V19" s="20">
        <v>5</v>
      </c>
      <c r="W19" s="20">
        <v>0</v>
      </c>
      <c r="X19" s="20">
        <v>4</v>
      </c>
      <c r="Y19" s="20">
        <v>11</v>
      </c>
      <c r="Z19" s="20">
        <v>5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8</v>
      </c>
      <c r="F20" s="19">
        <f>T_DOC1[[#This Row],[TOTAL_DOCENTES]]-T_DOC1[[#This Row],[DOCENTES_MONITOREADOS]]</f>
      </c>
      <c r="G20" s="20">
        <v>0</v>
      </c>
      <c r="H20" s="20">
        <v>2</v>
      </c>
      <c r="I20" s="20">
        <v>4</v>
      </c>
      <c r="J20" s="20">
        <v>2</v>
      </c>
      <c r="K20" s="20">
        <v>0</v>
      </c>
      <c r="L20" s="20">
        <v>3</v>
      </c>
      <c r="M20" s="20">
        <v>3</v>
      </c>
      <c r="N20" s="20">
        <v>2</v>
      </c>
      <c r="O20" s="20">
        <v>0</v>
      </c>
      <c r="P20" s="20">
        <v>2</v>
      </c>
      <c r="Q20" s="20">
        <v>4</v>
      </c>
      <c r="R20" s="20">
        <v>2</v>
      </c>
      <c r="S20" s="20">
        <v>0</v>
      </c>
      <c r="T20" s="20">
        <v>1</v>
      </c>
      <c r="U20" s="20">
        <v>5</v>
      </c>
      <c r="V20" s="20">
        <v>2</v>
      </c>
      <c r="W20" s="20">
        <v>0</v>
      </c>
      <c r="X20" s="20">
        <v>2</v>
      </c>
      <c r="Y20" s="20">
        <v>4</v>
      </c>
      <c r="Z20" s="20">
        <v>2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18</v>
      </c>
      <c r="F21" s="19">
        <f>T_DOC1[[#This Row],[TOTAL_DOCENTES]]-T_DOC1[[#This Row],[DOCENTES_MONITOREADOS]]</f>
      </c>
      <c r="G21" s="20">
        <v>0</v>
      </c>
      <c r="H21" s="20">
        <v>4</v>
      </c>
      <c r="I21" s="20">
        <v>10</v>
      </c>
      <c r="J21" s="20">
        <v>4</v>
      </c>
      <c r="K21" s="20">
        <v>0</v>
      </c>
      <c r="L21" s="20">
        <v>5</v>
      </c>
      <c r="M21" s="20">
        <v>9</v>
      </c>
      <c r="N21" s="20">
        <v>4</v>
      </c>
      <c r="O21" s="20">
        <v>0</v>
      </c>
      <c r="P21" s="20">
        <v>4</v>
      </c>
      <c r="Q21" s="20">
        <v>10</v>
      </c>
      <c r="R21" s="20">
        <v>4</v>
      </c>
      <c r="S21" s="20">
        <v>0</v>
      </c>
      <c r="T21" s="20">
        <v>2</v>
      </c>
      <c r="U21" s="20">
        <v>12</v>
      </c>
      <c r="V21" s="20">
        <v>4</v>
      </c>
      <c r="W21" s="20">
        <v>0</v>
      </c>
      <c r="X21" s="20">
        <v>3</v>
      </c>
      <c r="Y21" s="20">
        <v>11</v>
      </c>
      <c r="Z21" s="20">
        <v>4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20</v>
      </c>
      <c r="F22" s="19">
        <f>T_DOC1[[#This Row],[TOTAL_DOCENTES]]-T_DOC1[[#This Row],[DOCENTES_MONITOREADOS]]</f>
      </c>
      <c r="G22" s="20">
        <v>0</v>
      </c>
      <c r="H22" s="20">
        <v>5</v>
      </c>
      <c r="I22" s="20">
        <v>10</v>
      </c>
      <c r="J22" s="20">
        <v>5</v>
      </c>
      <c r="K22" s="20">
        <v>0</v>
      </c>
      <c r="L22" s="20">
        <v>6</v>
      </c>
      <c r="M22" s="20">
        <v>9</v>
      </c>
      <c r="N22" s="20">
        <v>5</v>
      </c>
      <c r="O22" s="20">
        <v>0</v>
      </c>
      <c r="P22" s="20">
        <v>5</v>
      </c>
      <c r="Q22" s="20">
        <v>10</v>
      </c>
      <c r="R22" s="20">
        <v>5</v>
      </c>
      <c r="S22" s="20">
        <v>0</v>
      </c>
      <c r="T22" s="20">
        <v>3</v>
      </c>
      <c r="U22" s="20">
        <v>12</v>
      </c>
      <c r="V22" s="20">
        <v>5</v>
      </c>
      <c r="W22" s="20">
        <v>0</v>
      </c>
      <c r="X22" s="20">
        <v>4</v>
      </c>
      <c r="Y22" s="20">
        <v>11</v>
      </c>
      <c r="Z22" s="20">
        <v>5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8</v>
      </c>
      <c r="F23" s="19">
        <f>T_DOC1[[#This Row],[TOTAL_DOCENTES]]-T_DOC1[[#This Row],[DOCENTES_MONITOREADOS]]</f>
      </c>
      <c r="G23" s="20">
        <v>0</v>
      </c>
      <c r="H23" s="20">
        <v>2</v>
      </c>
      <c r="I23" s="20">
        <v>4</v>
      </c>
      <c r="J23" s="20">
        <v>2</v>
      </c>
      <c r="K23" s="20">
        <v>0</v>
      </c>
      <c r="L23" s="20">
        <v>3</v>
      </c>
      <c r="M23" s="20">
        <v>3</v>
      </c>
      <c r="N23" s="20">
        <v>2</v>
      </c>
      <c r="O23" s="20">
        <v>0</v>
      </c>
      <c r="P23" s="20">
        <v>2</v>
      </c>
      <c r="Q23" s="20">
        <v>4</v>
      </c>
      <c r="R23" s="20">
        <v>2</v>
      </c>
      <c r="S23" s="20">
        <v>0</v>
      </c>
      <c r="T23" s="20">
        <v>1</v>
      </c>
      <c r="U23" s="20">
        <v>5</v>
      </c>
      <c r="V23" s="20">
        <v>2</v>
      </c>
      <c r="W23" s="20">
        <v>0</v>
      </c>
      <c r="X23" s="20">
        <v>2</v>
      </c>
      <c r="Y23" s="20">
        <v>4</v>
      </c>
      <c r="Z23" s="20">
        <v>2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18</v>
      </c>
      <c r="F24" s="19">
        <f>T_DOC1[[#This Row],[TOTAL_DOCENTES]]-T_DOC1[[#This Row],[DOCENTES_MONITOREADOS]]</f>
      </c>
      <c r="G24" s="20">
        <v>0</v>
      </c>
      <c r="H24" s="20">
        <v>4</v>
      </c>
      <c r="I24" s="20">
        <v>10</v>
      </c>
      <c r="J24" s="20">
        <v>4</v>
      </c>
      <c r="K24" s="20">
        <v>0</v>
      </c>
      <c r="L24" s="20">
        <v>5</v>
      </c>
      <c r="M24" s="20">
        <v>9</v>
      </c>
      <c r="N24" s="20">
        <v>4</v>
      </c>
      <c r="O24" s="20">
        <v>0</v>
      </c>
      <c r="P24" s="20">
        <v>4</v>
      </c>
      <c r="Q24" s="20">
        <v>10</v>
      </c>
      <c r="R24" s="20">
        <v>4</v>
      </c>
      <c r="S24" s="20">
        <v>0</v>
      </c>
      <c r="T24" s="20">
        <v>2</v>
      </c>
      <c r="U24" s="20">
        <v>12</v>
      </c>
      <c r="V24" s="20">
        <v>4</v>
      </c>
      <c r="W24" s="20">
        <v>0</v>
      </c>
      <c r="X24" s="20">
        <v>3</v>
      </c>
      <c r="Y24" s="20">
        <v>11</v>
      </c>
      <c r="Z24" s="20">
        <v>4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20</v>
      </c>
      <c r="F25" s="19">
        <f>T_DOC1[[#This Row],[TOTAL_DOCENTES]]-T_DOC1[[#This Row],[DOCENTES_MONITOREADOS]]</f>
      </c>
      <c r="G25" s="20">
        <v>0</v>
      </c>
      <c r="H25" s="20">
        <v>5</v>
      </c>
      <c r="I25" s="20">
        <v>10</v>
      </c>
      <c r="J25" s="20">
        <v>5</v>
      </c>
      <c r="K25" s="20">
        <v>0</v>
      </c>
      <c r="L25" s="20">
        <v>6</v>
      </c>
      <c r="M25" s="20">
        <v>9</v>
      </c>
      <c r="N25" s="20">
        <v>5</v>
      </c>
      <c r="O25" s="20">
        <v>0</v>
      </c>
      <c r="P25" s="20">
        <v>5</v>
      </c>
      <c r="Q25" s="20">
        <v>10</v>
      </c>
      <c r="R25" s="20">
        <v>5</v>
      </c>
      <c r="S25" s="20">
        <v>0</v>
      </c>
      <c r="T25" s="20">
        <v>3</v>
      </c>
      <c r="U25" s="20">
        <v>12</v>
      </c>
      <c r="V25" s="20">
        <v>5</v>
      </c>
      <c r="W25" s="20">
        <v>0</v>
      </c>
      <c r="X25" s="20">
        <v>4</v>
      </c>
      <c r="Y25" s="20">
        <v>11</v>
      </c>
      <c r="Z25" s="20">
        <v>5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8</v>
      </c>
      <c r="F26" s="19">
        <f>T_DOC1[[#This Row],[TOTAL_DOCENTES]]-T_DOC1[[#This Row],[DOCENTES_MONITOREADOS]]</f>
      </c>
      <c r="G26" s="20">
        <v>0</v>
      </c>
      <c r="H26" s="20">
        <v>2</v>
      </c>
      <c r="I26" s="20">
        <v>4</v>
      </c>
      <c r="J26" s="20">
        <v>2</v>
      </c>
      <c r="K26" s="20">
        <v>0</v>
      </c>
      <c r="L26" s="20">
        <v>3</v>
      </c>
      <c r="M26" s="20">
        <v>3</v>
      </c>
      <c r="N26" s="20">
        <v>2</v>
      </c>
      <c r="O26" s="20">
        <v>0</v>
      </c>
      <c r="P26" s="20">
        <v>2</v>
      </c>
      <c r="Q26" s="20">
        <v>4</v>
      </c>
      <c r="R26" s="20">
        <v>2</v>
      </c>
      <c r="S26" s="20">
        <v>0</v>
      </c>
      <c r="T26" s="20">
        <v>1</v>
      </c>
      <c r="U26" s="20">
        <v>5</v>
      </c>
      <c r="V26" s="20">
        <v>2</v>
      </c>
      <c r="W26" s="20">
        <v>0</v>
      </c>
      <c r="X26" s="20">
        <v>2</v>
      </c>
      <c r="Y26" s="20">
        <v>4</v>
      </c>
      <c r="Z26" s="20">
        <v>2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18</v>
      </c>
      <c r="F27" s="19">
        <f>T_DOC1[[#This Row],[TOTAL_DOCENTES]]-T_DOC1[[#This Row],[DOCENTES_MONITOREADOS]]</f>
      </c>
      <c r="G27" s="20">
        <v>0</v>
      </c>
      <c r="H27" s="20">
        <v>4</v>
      </c>
      <c r="I27" s="20">
        <v>10</v>
      </c>
      <c r="J27" s="20">
        <v>4</v>
      </c>
      <c r="K27" s="20">
        <v>0</v>
      </c>
      <c r="L27" s="20">
        <v>5</v>
      </c>
      <c r="M27" s="20">
        <v>9</v>
      </c>
      <c r="N27" s="20">
        <v>4</v>
      </c>
      <c r="O27" s="20">
        <v>0</v>
      </c>
      <c r="P27" s="20">
        <v>4</v>
      </c>
      <c r="Q27" s="20">
        <v>10</v>
      </c>
      <c r="R27" s="20">
        <v>4</v>
      </c>
      <c r="S27" s="20">
        <v>0</v>
      </c>
      <c r="T27" s="20">
        <v>2</v>
      </c>
      <c r="U27" s="20">
        <v>12</v>
      </c>
      <c r="V27" s="20">
        <v>4</v>
      </c>
      <c r="W27" s="20">
        <v>0</v>
      </c>
      <c r="X27" s="20">
        <v>3</v>
      </c>
      <c r="Y27" s="20">
        <v>11</v>
      </c>
      <c r="Z27" s="20">
        <v>4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20</v>
      </c>
      <c r="F28" s="19">
        <f>T_DOC1[[#This Row],[TOTAL_DOCENTES]]-T_DOC1[[#This Row],[DOCENTES_MONITOREADOS]]</f>
      </c>
      <c r="G28" s="20">
        <v>0</v>
      </c>
      <c r="H28" s="20">
        <v>5</v>
      </c>
      <c r="I28" s="20">
        <v>10</v>
      </c>
      <c r="J28" s="20">
        <v>5</v>
      </c>
      <c r="K28" s="20">
        <v>0</v>
      </c>
      <c r="L28" s="20">
        <v>6</v>
      </c>
      <c r="M28" s="20">
        <v>9</v>
      </c>
      <c r="N28" s="20">
        <v>5</v>
      </c>
      <c r="O28" s="20">
        <v>0</v>
      </c>
      <c r="P28" s="20">
        <v>5</v>
      </c>
      <c r="Q28" s="20">
        <v>10</v>
      </c>
      <c r="R28" s="20">
        <v>5</v>
      </c>
      <c r="S28" s="20">
        <v>0</v>
      </c>
      <c r="T28" s="20">
        <v>3</v>
      </c>
      <c r="U28" s="20">
        <v>12</v>
      </c>
      <c r="V28" s="20">
        <v>5</v>
      </c>
      <c r="W28" s="20">
        <v>0</v>
      </c>
      <c r="X28" s="20">
        <v>4</v>
      </c>
      <c r="Y28" s="20">
        <v>11</v>
      </c>
      <c r="Z28" s="20">
        <v>5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8</v>
      </c>
      <c r="F29" s="19">
        <f>T_DOC1[[#This Row],[TOTAL_DOCENTES]]-T_DOC1[[#This Row],[DOCENTES_MONITOREADOS]]</f>
      </c>
      <c r="G29" s="20">
        <v>0</v>
      </c>
      <c r="H29" s="20">
        <v>2</v>
      </c>
      <c r="I29" s="20">
        <v>4</v>
      </c>
      <c r="J29" s="20">
        <v>2</v>
      </c>
      <c r="K29" s="20">
        <v>0</v>
      </c>
      <c r="L29" s="20">
        <v>3</v>
      </c>
      <c r="M29" s="20">
        <v>3</v>
      </c>
      <c r="N29" s="20">
        <v>2</v>
      </c>
      <c r="O29" s="20">
        <v>0</v>
      </c>
      <c r="P29" s="20">
        <v>2</v>
      </c>
      <c r="Q29" s="20">
        <v>4</v>
      </c>
      <c r="R29" s="20">
        <v>2</v>
      </c>
      <c r="S29" s="20">
        <v>0</v>
      </c>
      <c r="T29" s="20">
        <v>1</v>
      </c>
      <c r="U29" s="20">
        <v>5</v>
      </c>
      <c r="V29" s="20">
        <v>2</v>
      </c>
      <c r="W29" s="20">
        <v>0</v>
      </c>
      <c r="X29" s="20">
        <v>2</v>
      </c>
      <c r="Y29" s="20">
        <v>4</v>
      </c>
      <c r="Z29" s="20">
        <v>2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18</v>
      </c>
      <c r="F30" s="19">
        <f>T_DOC1[[#This Row],[TOTAL_DOCENTES]]-T_DOC1[[#This Row],[DOCENTES_MONITOREADOS]]</f>
      </c>
      <c r="G30" s="20">
        <v>0</v>
      </c>
      <c r="H30" s="20">
        <v>4</v>
      </c>
      <c r="I30" s="20">
        <v>10</v>
      </c>
      <c r="J30" s="20">
        <v>4</v>
      </c>
      <c r="K30" s="20">
        <v>0</v>
      </c>
      <c r="L30" s="20">
        <v>5</v>
      </c>
      <c r="M30" s="20">
        <v>9</v>
      </c>
      <c r="N30" s="20">
        <v>4</v>
      </c>
      <c r="O30" s="20">
        <v>0</v>
      </c>
      <c r="P30" s="20">
        <v>4</v>
      </c>
      <c r="Q30" s="20">
        <v>10</v>
      </c>
      <c r="R30" s="20">
        <v>4</v>
      </c>
      <c r="S30" s="20">
        <v>0</v>
      </c>
      <c r="T30" s="20">
        <v>2</v>
      </c>
      <c r="U30" s="20">
        <v>12</v>
      </c>
      <c r="V30" s="20">
        <v>4</v>
      </c>
      <c r="W30" s="20">
        <v>0</v>
      </c>
      <c r="X30" s="20">
        <v>3</v>
      </c>
      <c r="Y30" s="20">
        <v>11</v>
      </c>
      <c r="Z30" s="20">
        <v>4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20</v>
      </c>
      <c r="F31" s="19">
        <f>T_DOC1[[#This Row],[TOTAL_DOCENTES]]-T_DOC1[[#This Row],[DOCENTES_MONITOREADOS]]</f>
      </c>
      <c r="G31" s="20">
        <v>0</v>
      </c>
      <c r="H31" s="20">
        <v>5</v>
      </c>
      <c r="I31" s="20">
        <v>10</v>
      </c>
      <c r="J31" s="20">
        <v>5</v>
      </c>
      <c r="K31" s="20">
        <v>0</v>
      </c>
      <c r="L31" s="20">
        <v>6</v>
      </c>
      <c r="M31" s="20">
        <v>9</v>
      </c>
      <c r="N31" s="20">
        <v>5</v>
      </c>
      <c r="O31" s="20">
        <v>0</v>
      </c>
      <c r="P31" s="20">
        <v>5</v>
      </c>
      <c r="Q31" s="20">
        <v>10</v>
      </c>
      <c r="R31" s="20">
        <v>5</v>
      </c>
      <c r="S31" s="20">
        <v>0</v>
      </c>
      <c r="T31" s="20">
        <v>3</v>
      </c>
      <c r="U31" s="20">
        <v>12</v>
      </c>
      <c r="V31" s="20">
        <v>5</v>
      </c>
      <c r="W31" s="20">
        <v>0</v>
      </c>
      <c r="X31" s="20">
        <v>4</v>
      </c>
      <c r="Y31" s="20">
        <v>11</v>
      </c>
      <c r="Z31" s="20">
        <v>5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8</v>
      </c>
      <c r="F32" s="19">
        <f>T_DOC1[[#This Row],[TOTAL_DOCENTES]]-T_DOC1[[#This Row],[DOCENTES_MONITOREADOS]]</f>
      </c>
      <c r="G32" s="20">
        <v>0</v>
      </c>
      <c r="H32" s="20">
        <v>2</v>
      </c>
      <c r="I32" s="20">
        <v>4</v>
      </c>
      <c r="J32" s="20">
        <v>2</v>
      </c>
      <c r="K32" s="20">
        <v>0</v>
      </c>
      <c r="L32" s="20">
        <v>3</v>
      </c>
      <c r="M32" s="20">
        <v>3</v>
      </c>
      <c r="N32" s="20">
        <v>2</v>
      </c>
      <c r="O32" s="20">
        <v>0</v>
      </c>
      <c r="P32" s="20">
        <v>2</v>
      </c>
      <c r="Q32" s="20">
        <v>4</v>
      </c>
      <c r="R32" s="20">
        <v>2</v>
      </c>
      <c r="S32" s="20">
        <v>0</v>
      </c>
      <c r="T32" s="20">
        <v>1</v>
      </c>
      <c r="U32" s="20">
        <v>5</v>
      </c>
      <c r="V32" s="20">
        <v>2</v>
      </c>
      <c r="W32" s="20">
        <v>0</v>
      </c>
      <c r="X32" s="20">
        <v>2</v>
      </c>
      <c r="Y32" s="20">
        <v>4</v>
      </c>
      <c r="Z32" s="20">
        <v>2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18</v>
      </c>
      <c r="F33" s="19">
        <f>T_DOC1[[#This Row],[TOTAL_DOCENTES]]-T_DOC1[[#This Row],[DOCENTES_MONITOREADOS]]</f>
      </c>
      <c r="G33" s="20">
        <v>0</v>
      </c>
      <c r="H33" s="20">
        <v>4</v>
      </c>
      <c r="I33" s="20">
        <v>10</v>
      </c>
      <c r="J33" s="20">
        <v>4</v>
      </c>
      <c r="K33" s="20">
        <v>0</v>
      </c>
      <c r="L33" s="20">
        <v>5</v>
      </c>
      <c r="M33" s="20">
        <v>9</v>
      </c>
      <c r="N33" s="20">
        <v>4</v>
      </c>
      <c r="O33" s="20">
        <v>0</v>
      </c>
      <c r="P33" s="20">
        <v>4</v>
      </c>
      <c r="Q33" s="20">
        <v>10</v>
      </c>
      <c r="R33" s="20">
        <v>4</v>
      </c>
      <c r="S33" s="20">
        <v>0</v>
      </c>
      <c r="T33" s="20">
        <v>2</v>
      </c>
      <c r="U33" s="20">
        <v>12</v>
      </c>
      <c r="V33" s="20">
        <v>4</v>
      </c>
      <c r="W33" s="20">
        <v>0</v>
      </c>
      <c r="X33" s="20">
        <v>3</v>
      </c>
      <c r="Y33" s="20">
        <v>11</v>
      </c>
      <c r="Z33" s="20">
        <v>4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20</v>
      </c>
      <c r="F34" s="19">
        <f>T_DOC1[[#This Row],[TOTAL_DOCENTES]]-T_DOC1[[#This Row],[DOCENTES_MONITOREADOS]]</f>
      </c>
      <c r="G34" s="20">
        <v>0</v>
      </c>
      <c r="H34" s="20">
        <v>5</v>
      </c>
      <c r="I34" s="20">
        <v>10</v>
      </c>
      <c r="J34" s="20">
        <v>5</v>
      </c>
      <c r="K34" s="20">
        <v>0</v>
      </c>
      <c r="L34" s="20">
        <v>6</v>
      </c>
      <c r="M34" s="20">
        <v>9</v>
      </c>
      <c r="N34" s="20">
        <v>5</v>
      </c>
      <c r="O34" s="20">
        <v>0</v>
      </c>
      <c r="P34" s="20">
        <v>5</v>
      </c>
      <c r="Q34" s="20">
        <v>10</v>
      </c>
      <c r="R34" s="20">
        <v>5</v>
      </c>
      <c r="S34" s="20">
        <v>0</v>
      </c>
      <c r="T34" s="20">
        <v>3</v>
      </c>
      <c r="U34" s="20">
        <v>12</v>
      </c>
      <c r="V34" s="20">
        <v>5</v>
      </c>
      <c r="W34" s="20">
        <v>0</v>
      </c>
      <c r="X34" s="20">
        <v>4</v>
      </c>
      <c r="Y34" s="20">
        <v>11</v>
      </c>
      <c r="Z34" s="20">
        <v>5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8</v>
      </c>
      <c r="F35" s="19">
        <f>T_DOC1[[#This Row],[TOTAL_DOCENTES]]-T_DOC1[[#This Row],[DOCENTES_MONITOREADOS]]</f>
      </c>
      <c r="G35" s="20">
        <v>0</v>
      </c>
      <c r="H35" s="20">
        <v>2</v>
      </c>
      <c r="I35" s="20">
        <v>4</v>
      </c>
      <c r="J35" s="20">
        <v>2</v>
      </c>
      <c r="K35" s="20">
        <v>0</v>
      </c>
      <c r="L35" s="20">
        <v>3</v>
      </c>
      <c r="M35" s="20">
        <v>3</v>
      </c>
      <c r="N35" s="20">
        <v>2</v>
      </c>
      <c r="O35" s="20">
        <v>0</v>
      </c>
      <c r="P35" s="20">
        <v>2</v>
      </c>
      <c r="Q35" s="20">
        <v>4</v>
      </c>
      <c r="R35" s="20">
        <v>2</v>
      </c>
      <c r="S35" s="20">
        <v>0</v>
      </c>
      <c r="T35" s="20">
        <v>1</v>
      </c>
      <c r="U35" s="20">
        <v>5</v>
      </c>
      <c r="V35" s="20">
        <v>2</v>
      </c>
      <c r="W35" s="20">
        <v>0</v>
      </c>
      <c r="X35" s="20">
        <v>2</v>
      </c>
      <c r="Y35" s="20">
        <v>4</v>
      </c>
      <c r="Z35" s="20">
        <v>2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18</v>
      </c>
      <c r="F36" s="19">
        <f>T_DOC1[[#This Row],[TOTAL_DOCENTES]]-T_DOC1[[#This Row],[DOCENTES_MONITOREADOS]]</f>
      </c>
      <c r="G36" s="20">
        <v>0</v>
      </c>
      <c r="H36" s="20">
        <v>4</v>
      </c>
      <c r="I36" s="20">
        <v>10</v>
      </c>
      <c r="J36" s="20">
        <v>4</v>
      </c>
      <c r="K36" s="20">
        <v>0</v>
      </c>
      <c r="L36" s="20">
        <v>5</v>
      </c>
      <c r="M36" s="20">
        <v>9</v>
      </c>
      <c r="N36" s="20">
        <v>4</v>
      </c>
      <c r="O36" s="20">
        <v>0</v>
      </c>
      <c r="P36" s="20">
        <v>4</v>
      </c>
      <c r="Q36" s="20">
        <v>10</v>
      </c>
      <c r="R36" s="20">
        <v>4</v>
      </c>
      <c r="S36" s="20">
        <v>0</v>
      </c>
      <c r="T36" s="20">
        <v>2</v>
      </c>
      <c r="U36" s="20">
        <v>12</v>
      </c>
      <c r="V36" s="20">
        <v>4</v>
      </c>
      <c r="W36" s="20">
        <v>0</v>
      </c>
      <c r="X36" s="20">
        <v>3</v>
      </c>
      <c r="Y36" s="20">
        <v>11</v>
      </c>
      <c r="Z36" s="20">
        <v>4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20</v>
      </c>
      <c r="F37" s="19">
        <f>T_DOC1[[#This Row],[TOTAL_DOCENTES]]-T_DOC1[[#This Row],[DOCENTES_MONITOREADOS]]</f>
      </c>
      <c r="G37" s="20">
        <v>0</v>
      </c>
      <c r="H37" s="20">
        <v>5</v>
      </c>
      <c r="I37" s="20">
        <v>10</v>
      </c>
      <c r="J37" s="20">
        <v>5</v>
      </c>
      <c r="K37" s="20">
        <v>0</v>
      </c>
      <c r="L37" s="20">
        <v>6</v>
      </c>
      <c r="M37" s="20">
        <v>9</v>
      </c>
      <c r="N37" s="20">
        <v>5</v>
      </c>
      <c r="O37" s="20">
        <v>0</v>
      </c>
      <c r="P37" s="20">
        <v>5</v>
      </c>
      <c r="Q37" s="20">
        <v>10</v>
      </c>
      <c r="R37" s="20">
        <v>5</v>
      </c>
      <c r="S37" s="20">
        <v>0</v>
      </c>
      <c r="T37" s="20">
        <v>3</v>
      </c>
      <c r="U37" s="20">
        <v>12</v>
      </c>
      <c r="V37" s="20">
        <v>5</v>
      </c>
      <c r="W37" s="20">
        <v>0</v>
      </c>
      <c r="X37" s="20">
        <v>4</v>
      </c>
      <c r="Y37" s="20">
        <v>11</v>
      </c>
      <c r="Z37" s="20">
        <v>5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8</v>
      </c>
      <c r="F38" s="19">
        <f>T_DOC1[[#This Row],[TOTAL_DOCENTES]]-T_DOC1[[#This Row],[DOCENTES_MONITOREADOS]]</f>
      </c>
      <c r="G38" s="20">
        <v>0</v>
      </c>
      <c r="H38" s="20">
        <v>2</v>
      </c>
      <c r="I38" s="20">
        <v>4</v>
      </c>
      <c r="J38" s="20">
        <v>2</v>
      </c>
      <c r="K38" s="20">
        <v>0</v>
      </c>
      <c r="L38" s="20">
        <v>3</v>
      </c>
      <c r="M38" s="20">
        <v>3</v>
      </c>
      <c r="N38" s="20">
        <v>2</v>
      </c>
      <c r="O38" s="20">
        <v>0</v>
      </c>
      <c r="P38" s="20">
        <v>2</v>
      </c>
      <c r="Q38" s="20">
        <v>4</v>
      </c>
      <c r="R38" s="20">
        <v>2</v>
      </c>
      <c r="S38" s="20">
        <v>0</v>
      </c>
      <c r="T38" s="20">
        <v>1</v>
      </c>
      <c r="U38" s="20">
        <v>5</v>
      </c>
      <c r="V38" s="20">
        <v>2</v>
      </c>
      <c r="W38" s="20">
        <v>0</v>
      </c>
      <c r="X38" s="20">
        <v>2</v>
      </c>
      <c r="Y38" s="20">
        <v>4</v>
      </c>
      <c r="Z38" s="20">
        <v>2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18</v>
      </c>
      <c r="F39" s="19">
        <f>T_DOC1[[#This Row],[TOTAL_DOCENTES]]-T_DOC1[[#This Row],[DOCENTES_MONITOREADOS]]</f>
      </c>
      <c r="G39" s="20">
        <v>0</v>
      </c>
      <c r="H39" s="20">
        <v>4</v>
      </c>
      <c r="I39" s="20">
        <v>10</v>
      </c>
      <c r="J39" s="20">
        <v>4</v>
      </c>
      <c r="K39" s="20">
        <v>0</v>
      </c>
      <c r="L39" s="20">
        <v>5</v>
      </c>
      <c r="M39" s="20">
        <v>9</v>
      </c>
      <c r="N39" s="20">
        <v>4</v>
      </c>
      <c r="O39" s="20">
        <v>0</v>
      </c>
      <c r="P39" s="20">
        <v>4</v>
      </c>
      <c r="Q39" s="20">
        <v>10</v>
      </c>
      <c r="R39" s="20">
        <v>4</v>
      </c>
      <c r="S39" s="20">
        <v>0</v>
      </c>
      <c r="T39" s="20">
        <v>2</v>
      </c>
      <c r="U39" s="20">
        <v>12</v>
      </c>
      <c r="V39" s="20">
        <v>4</v>
      </c>
      <c r="W39" s="20">
        <v>0</v>
      </c>
      <c r="X39" s="20">
        <v>3</v>
      </c>
      <c r="Y39" s="20">
        <v>11</v>
      </c>
      <c r="Z39" s="20">
        <v>4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20</v>
      </c>
      <c r="F40" s="19">
        <f>T_DOC1[[#This Row],[TOTAL_DOCENTES]]-T_DOC1[[#This Row],[DOCENTES_MONITOREADOS]]</f>
      </c>
      <c r="G40" s="20">
        <v>0</v>
      </c>
      <c r="H40" s="20">
        <v>5</v>
      </c>
      <c r="I40" s="20">
        <v>10</v>
      </c>
      <c r="J40" s="20">
        <v>5</v>
      </c>
      <c r="K40" s="20">
        <v>0</v>
      </c>
      <c r="L40" s="20">
        <v>6</v>
      </c>
      <c r="M40" s="20">
        <v>9</v>
      </c>
      <c r="N40" s="20">
        <v>5</v>
      </c>
      <c r="O40" s="20">
        <v>0</v>
      </c>
      <c r="P40" s="20">
        <v>5</v>
      </c>
      <c r="Q40" s="20">
        <v>10</v>
      </c>
      <c r="R40" s="20">
        <v>5</v>
      </c>
      <c r="S40" s="20">
        <v>0</v>
      </c>
      <c r="T40" s="20">
        <v>3</v>
      </c>
      <c r="U40" s="20">
        <v>12</v>
      </c>
      <c r="V40" s="20">
        <v>5</v>
      </c>
      <c r="W40" s="20">
        <v>0</v>
      </c>
      <c r="X40" s="20">
        <v>4</v>
      </c>
      <c r="Y40" s="20">
        <v>11</v>
      </c>
      <c r="Z40" s="20">
        <v>5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8</v>
      </c>
      <c r="F41" s="19">
        <f>T_DOC1[[#This Row],[TOTAL_DOCENTES]]-T_DOC1[[#This Row],[DOCENTES_MONITOREADOS]]</f>
      </c>
      <c r="G41" s="20">
        <v>0</v>
      </c>
      <c r="H41" s="20">
        <v>2</v>
      </c>
      <c r="I41" s="20">
        <v>4</v>
      </c>
      <c r="J41" s="20">
        <v>2</v>
      </c>
      <c r="K41" s="20">
        <v>0</v>
      </c>
      <c r="L41" s="20">
        <v>3</v>
      </c>
      <c r="M41" s="20">
        <v>3</v>
      </c>
      <c r="N41" s="20">
        <v>2</v>
      </c>
      <c r="O41" s="20">
        <v>0</v>
      </c>
      <c r="P41" s="20">
        <v>2</v>
      </c>
      <c r="Q41" s="20">
        <v>4</v>
      </c>
      <c r="R41" s="20">
        <v>2</v>
      </c>
      <c r="S41" s="20">
        <v>0</v>
      </c>
      <c r="T41" s="20">
        <v>1</v>
      </c>
      <c r="U41" s="20">
        <v>5</v>
      </c>
      <c r="V41" s="20">
        <v>2</v>
      </c>
      <c r="W41" s="20">
        <v>0</v>
      </c>
      <c r="X41" s="20">
        <v>2</v>
      </c>
      <c r="Y41" s="20">
        <v>4</v>
      </c>
      <c r="Z41" s="20">
        <v>2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18</v>
      </c>
      <c r="F42" s="19">
        <f>T_DOC1[[#This Row],[TOTAL_DOCENTES]]-T_DOC1[[#This Row],[DOCENTES_MONITOREADOS]]</f>
      </c>
      <c r="G42" s="20">
        <v>0</v>
      </c>
      <c r="H42" s="20">
        <v>4</v>
      </c>
      <c r="I42" s="20">
        <v>10</v>
      </c>
      <c r="J42" s="20">
        <v>4</v>
      </c>
      <c r="K42" s="20">
        <v>0</v>
      </c>
      <c r="L42" s="20">
        <v>5</v>
      </c>
      <c r="M42" s="20">
        <v>9</v>
      </c>
      <c r="N42" s="20">
        <v>4</v>
      </c>
      <c r="O42" s="20">
        <v>0</v>
      </c>
      <c r="P42" s="20">
        <v>4</v>
      </c>
      <c r="Q42" s="20">
        <v>10</v>
      </c>
      <c r="R42" s="20">
        <v>4</v>
      </c>
      <c r="S42" s="20">
        <v>0</v>
      </c>
      <c r="T42" s="20">
        <v>2</v>
      </c>
      <c r="U42" s="20">
        <v>12</v>
      </c>
      <c r="V42" s="20">
        <v>4</v>
      </c>
      <c r="W42" s="20">
        <v>0</v>
      </c>
      <c r="X42" s="20">
        <v>3</v>
      </c>
      <c r="Y42" s="20">
        <v>11</v>
      </c>
      <c r="Z42" s="20">
        <v>4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20</v>
      </c>
      <c r="F43" s="19">
        <f>T_DOC1[[#This Row],[TOTAL_DOCENTES]]-T_DOC1[[#This Row],[DOCENTES_MONITOREADOS]]</f>
      </c>
      <c r="G43" s="20">
        <v>0</v>
      </c>
      <c r="H43" s="20">
        <v>5</v>
      </c>
      <c r="I43" s="20">
        <v>10</v>
      </c>
      <c r="J43" s="20">
        <v>5</v>
      </c>
      <c r="K43" s="20">
        <v>0</v>
      </c>
      <c r="L43" s="20">
        <v>6</v>
      </c>
      <c r="M43" s="20">
        <v>9</v>
      </c>
      <c r="N43" s="20">
        <v>5</v>
      </c>
      <c r="O43" s="20">
        <v>0</v>
      </c>
      <c r="P43" s="20">
        <v>5</v>
      </c>
      <c r="Q43" s="20">
        <v>10</v>
      </c>
      <c r="R43" s="20">
        <v>5</v>
      </c>
      <c r="S43" s="20">
        <v>0</v>
      </c>
      <c r="T43" s="20">
        <v>3</v>
      </c>
      <c r="U43" s="20">
        <v>12</v>
      </c>
      <c r="V43" s="20">
        <v>5</v>
      </c>
      <c r="W43" s="20">
        <v>0</v>
      </c>
      <c r="X43" s="20">
        <v>4</v>
      </c>
      <c r="Y43" s="20">
        <v>11</v>
      </c>
      <c r="Z43" s="20">
        <v>5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8</v>
      </c>
      <c r="F44" s="19">
        <f>T_DOC1[[#This Row],[TOTAL_DOCENTES]]-T_DOC1[[#This Row],[DOCENTES_MONITOREADOS]]</f>
      </c>
      <c r="G44" s="20">
        <v>0</v>
      </c>
      <c r="H44" s="20">
        <v>2</v>
      </c>
      <c r="I44" s="20">
        <v>4</v>
      </c>
      <c r="J44" s="20">
        <v>2</v>
      </c>
      <c r="K44" s="20">
        <v>0</v>
      </c>
      <c r="L44" s="20">
        <v>3</v>
      </c>
      <c r="M44" s="20">
        <v>3</v>
      </c>
      <c r="N44" s="20">
        <v>2</v>
      </c>
      <c r="O44" s="20">
        <v>0</v>
      </c>
      <c r="P44" s="20">
        <v>2</v>
      </c>
      <c r="Q44" s="20">
        <v>4</v>
      </c>
      <c r="R44" s="20">
        <v>2</v>
      </c>
      <c r="S44" s="20">
        <v>0</v>
      </c>
      <c r="T44" s="20">
        <v>1</v>
      </c>
      <c r="U44" s="20">
        <v>5</v>
      </c>
      <c r="V44" s="20">
        <v>2</v>
      </c>
      <c r="W44" s="20">
        <v>0</v>
      </c>
      <c r="X44" s="20">
        <v>2</v>
      </c>
      <c r="Y44" s="20">
        <v>4</v>
      </c>
      <c r="Z44" s="20">
        <v>2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18</v>
      </c>
      <c r="F45" s="19">
        <f>T_DOC1[[#This Row],[TOTAL_DOCENTES]]-T_DOC1[[#This Row],[DOCENTES_MONITOREADOS]]</f>
      </c>
      <c r="G45" s="20">
        <v>0</v>
      </c>
      <c r="H45" s="20">
        <v>4</v>
      </c>
      <c r="I45" s="20">
        <v>10</v>
      </c>
      <c r="J45" s="20">
        <v>4</v>
      </c>
      <c r="K45" s="20">
        <v>0</v>
      </c>
      <c r="L45" s="20">
        <v>5</v>
      </c>
      <c r="M45" s="20">
        <v>9</v>
      </c>
      <c r="N45" s="20">
        <v>4</v>
      </c>
      <c r="O45" s="20">
        <v>0</v>
      </c>
      <c r="P45" s="20">
        <v>4</v>
      </c>
      <c r="Q45" s="20">
        <v>10</v>
      </c>
      <c r="R45" s="20">
        <v>4</v>
      </c>
      <c r="S45" s="20">
        <v>0</v>
      </c>
      <c r="T45" s="20">
        <v>2</v>
      </c>
      <c r="U45" s="20">
        <v>12</v>
      </c>
      <c r="V45" s="20">
        <v>4</v>
      </c>
      <c r="W45" s="20">
        <v>0</v>
      </c>
      <c r="X45" s="20">
        <v>3</v>
      </c>
      <c r="Y45" s="20">
        <v>11</v>
      </c>
      <c r="Z45" s="20">
        <v>4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20</v>
      </c>
      <c r="F46" s="19">
        <f>T_DOC1[[#This Row],[TOTAL_DOCENTES]]-T_DOC1[[#This Row],[DOCENTES_MONITOREADOS]]</f>
      </c>
      <c r="G46" s="20">
        <v>0</v>
      </c>
      <c r="H46" s="20">
        <v>5</v>
      </c>
      <c r="I46" s="20">
        <v>10</v>
      </c>
      <c r="J46" s="20">
        <v>5</v>
      </c>
      <c r="K46" s="20">
        <v>0</v>
      </c>
      <c r="L46" s="20">
        <v>6</v>
      </c>
      <c r="M46" s="20">
        <v>9</v>
      </c>
      <c r="N46" s="20">
        <v>5</v>
      </c>
      <c r="O46" s="20">
        <v>0</v>
      </c>
      <c r="P46" s="20">
        <v>5</v>
      </c>
      <c r="Q46" s="20">
        <v>10</v>
      </c>
      <c r="R46" s="20">
        <v>5</v>
      </c>
      <c r="S46" s="20">
        <v>0</v>
      </c>
      <c r="T46" s="20">
        <v>3</v>
      </c>
      <c r="U46" s="20">
        <v>12</v>
      </c>
      <c r="V46" s="20">
        <v>5</v>
      </c>
      <c r="W46" s="20">
        <v>0</v>
      </c>
      <c r="X46" s="20">
        <v>4</v>
      </c>
      <c r="Y46" s="20">
        <v>11</v>
      </c>
      <c r="Z46" s="20">
        <v>5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8</v>
      </c>
      <c r="F47" s="19">
        <f>T_DOC1[[#This Row],[TOTAL_DOCENTES]]-T_DOC1[[#This Row],[DOCENTES_MONITOREADOS]]</f>
      </c>
      <c r="G47" s="20">
        <v>0</v>
      </c>
      <c r="H47" s="20">
        <v>2</v>
      </c>
      <c r="I47" s="20">
        <v>4</v>
      </c>
      <c r="J47" s="20">
        <v>2</v>
      </c>
      <c r="K47" s="20">
        <v>0</v>
      </c>
      <c r="L47" s="20">
        <v>3</v>
      </c>
      <c r="M47" s="20">
        <v>3</v>
      </c>
      <c r="N47" s="20">
        <v>2</v>
      </c>
      <c r="O47" s="20">
        <v>0</v>
      </c>
      <c r="P47" s="20">
        <v>2</v>
      </c>
      <c r="Q47" s="20">
        <v>4</v>
      </c>
      <c r="R47" s="20">
        <v>2</v>
      </c>
      <c r="S47" s="20">
        <v>0</v>
      </c>
      <c r="T47" s="20">
        <v>1</v>
      </c>
      <c r="U47" s="20">
        <v>5</v>
      </c>
      <c r="V47" s="20">
        <v>2</v>
      </c>
      <c r="W47" s="20">
        <v>0</v>
      </c>
      <c r="X47" s="20">
        <v>2</v>
      </c>
      <c r="Y47" s="20">
        <v>4</v>
      </c>
      <c r="Z47" s="20">
        <v>2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18</v>
      </c>
      <c r="F48" s="19">
        <f>T_DOC1[[#This Row],[TOTAL_DOCENTES]]-T_DOC1[[#This Row],[DOCENTES_MONITOREADOS]]</f>
      </c>
      <c r="G48" s="20">
        <v>0</v>
      </c>
      <c r="H48" s="20">
        <v>4</v>
      </c>
      <c r="I48" s="20">
        <v>10</v>
      </c>
      <c r="J48" s="20">
        <v>4</v>
      </c>
      <c r="K48" s="20">
        <v>0</v>
      </c>
      <c r="L48" s="20">
        <v>5</v>
      </c>
      <c r="M48" s="20">
        <v>9</v>
      </c>
      <c r="N48" s="20">
        <v>4</v>
      </c>
      <c r="O48" s="20">
        <v>0</v>
      </c>
      <c r="P48" s="20">
        <v>4</v>
      </c>
      <c r="Q48" s="20">
        <v>10</v>
      </c>
      <c r="R48" s="20">
        <v>4</v>
      </c>
      <c r="S48" s="20">
        <v>0</v>
      </c>
      <c r="T48" s="20">
        <v>2</v>
      </c>
      <c r="U48" s="20">
        <v>12</v>
      </c>
      <c r="V48" s="20">
        <v>4</v>
      </c>
      <c r="W48" s="20">
        <v>0</v>
      </c>
      <c r="X48" s="20">
        <v>3</v>
      </c>
      <c r="Y48" s="20">
        <v>11</v>
      </c>
      <c r="Z48" s="20">
        <v>4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20</v>
      </c>
      <c r="F49" s="19">
        <f>T_DOC1[[#This Row],[TOTAL_DOCENTES]]-T_DOC1[[#This Row],[DOCENTES_MONITOREADOS]]</f>
      </c>
      <c r="G49" s="20">
        <v>0</v>
      </c>
      <c r="H49" s="20">
        <v>5</v>
      </c>
      <c r="I49" s="20">
        <v>10</v>
      </c>
      <c r="J49" s="20">
        <v>5</v>
      </c>
      <c r="K49" s="20">
        <v>0</v>
      </c>
      <c r="L49" s="20">
        <v>6</v>
      </c>
      <c r="M49" s="20">
        <v>9</v>
      </c>
      <c r="N49" s="20">
        <v>5</v>
      </c>
      <c r="O49" s="20">
        <v>0</v>
      </c>
      <c r="P49" s="20">
        <v>5</v>
      </c>
      <c r="Q49" s="20">
        <v>10</v>
      </c>
      <c r="R49" s="20">
        <v>5</v>
      </c>
      <c r="S49" s="20">
        <v>0</v>
      </c>
      <c r="T49" s="20">
        <v>3</v>
      </c>
      <c r="U49" s="20">
        <v>12</v>
      </c>
      <c r="V49" s="20">
        <v>5</v>
      </c>
      <c r="W49" s="20">
        <v>0</v>
      </c>
      <c r="X49" s="20">
        <v>4</v>
      </c>
      <c r="Y49" s="20">
        <v>11</v>
      </c>
      <c r="Z49" s="20">
        <v>5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8</v>
      </c>
      <c r="F50" s="19">
        <f>T_DOC1[[#This Row],[TOTAL_DOCENTES]]-T_DOC1[[#This Row],[DOCENTES_MONITOREADOS]]</f>
      </c>
      <c r="G50" s="20">
        <v>0</v>
      </c>
      <c r="H50" s="20">
        <v>2</v>
      </c>
      <c r="I50" s="20">
        <v>4</v>
      </c>
      <c r="J50" s="20">
        <v>2</v>
      </c>
      <c r="K50" s="20">
        <v>0</v>
      </c>
      <c r="L50" s="20">
        <v>3</v>
      </c>
      <c r="M50" s="20">
        <v>3</v>
      </c>
      <c r="N50" s="20">
        <v>2</v>
      </c>
      <c r="O50" s="20">
        <v>0</v>
      </c>
      <c r="P50" s="20">
        <v>2</v>
      </c>
      <c r="Q50" s="20">
        <v>4</v>
      </c>
      <c r="R50" s="20">
        <v>2</v>
      </c>
      <c r="S50" s="20">
        <v>0</v>
      </c>
      <c r="T50" s="20">
        <v>1</v>
      </c>
      <c r="U50" s="20">
        <v>5</v>
      </c>
      <c r="V50" s="20">
        <v>2</v>
      </c>
      <c r="W50" s="20">
        <v>0</v>
      </c>
      <c r="X50" s="20">
        <v>2</v>
      </c>
      <c r="Y50" s="20">
        <v>4</v>
      </c>
      <c r="Z50" s="20">
        <v>2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18</v>
      </c>
      <c r="F51" s="19">
        <f>T_DOC1[[#This Row],[TOTAL_DOCENTES]]-T_DOC1[[#This Row],[DOCENTES_MONITOREADOS]]</f>
      </c>
      <c r="G51" s="20">
        <v>0</v>
      </c>
      <c r="H51" s="20">
        <v>4</v>
      </c>
      <c r="I51" s="20">
        <v>10</v>
      </c>
      <c r="J51" s="20">
        <v>4</v>
      </c>
      <c r="K51" s="20">
        <v>0</v>
      </c>
      <c r="L51" s="20">
        <v>5</v>
      </c>
      <c r="M51" s="20">
        <v>9</v>
      </c>
      <c r="N51" s="20">
        <v>4</v>
      </c>
      <c r="O51" s="20">
        <v>0</v>
      </c>
      <c r="P51" s="20">
        <v>4</v>
      </c>
      <c r="Q51" s="20">
        <v>10</v>
      </c>
      <c r="R51" s="20">
        <v>4</v>
      </c>
      <c r="S51" s="20">
        <v>0</v>
      </c>
      <c r="T51" s="20">
        <v>2</v>
      </c>
      <c r="U51" s="20">
        <v>12</v>
      </c>
      <c r="V51" s="20">
        <v>4</v>
      </c>
      <c r="W51" s="20">
        <v>0</v>
      </c>
      <c r="X51" s="20">
        <v>3</v>
      </c>
      <c r="Y51" s="20">
        <v>11</v>
      </c>
      <c r="Z51" s="20">
        <v>4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20</v>
      </c>
      <c r="F52" s="19">
        <f>T_DOC1[[#This Row],[TOTAL_DOCENTES]]-T_DOC1[[#This Row],[DOCENTES_MONITOREADOS]]</f>
      </c>
      <c r="G52" s="20">
        <v>0</v>
      </c>
      <c r="H52" s="20">
        <v>5</v>
      </c>
      <c r="I52" s="20">
        <v>10</v>
      </c>
      <c r="J52" s="20">
        <v>5</v>
      </c>
      <c r="K52" s="20">
        <v>0</v>
      </c>
      <c r="L52" s="20">
        <v>6</v>
      </c>
      <c r="M52" s="20">
        <v>9</v>
      </c>
      <c r="N52" s="20">
        <v>5</v>
      </c>
      <c r="O52" s="20">
        <v>0</v>
      </c>
      <c r="P52" s="20">
        <v>5</v>
      </c>
      <c r="Q52" s="20">
        <v>10</v>
      </c>
      <c r="R52" s="20">
        <v>5</v>
      </c>
      <c r="S52" s="20">
        <v>0</v>
      </c>
      <c r="T52" s="20">
        <v>3</v>
      </c>
      <c r="U52" s="20">
        <v>12</v>
      </c>
      <c r="V52" s="20">
        <v>5</v>
      </c>
      <c r="W52" s="20">
        <v>0</v>
      </c>
      <c r="X52" s="20">
        <v>4</v>
      </c>
      <c r="Y52" s="20">
        <v>11</v>
      </c>
      <c r="Z52" s="20">
        <v>5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8</v>
      </c>
      <c r="F53" s="19">
        <f>T_DOC1[[#This Row],[TOTAL_DOCENTES]]-T_DOC1[[#This Row],[DOCENTES_MONITOREADOS]]</f>
      </c>
      <c r="G53" s="20">
        <v>0</v>
      </c>
      <c r="H53" s="20">
        <v>2</v>
      </c>
      <c r="I53" s="20">
        <v>4</v>
      </c>
      <c r="J53" s="20">
        <v>2</v>
      </c>
      <c r="K53" s="20">
        <v>0</v>
      </c>
      <c r="L53" s="20">
        <v>3</v>
      </c>
      <c r="M53" s="20">
        <v>3</v>
      </c>
      <c r="N53" s="20">
        <v>2</v>
      </c>
      <c r="O53" s="20">
        <v>0</v>
      </c>
      <c r="P53" s="20">
        <v>2</v>
      </c>
      <c r="Q53" s="20">
        <v>4</v>
      </c>
      <c r="R53" s="20">
        <v>2</v>
      </c>
      <c r="S53" s="20">
        <v>0</v>
      </c>
      <c r="T53" s="20">
        <v>1</v>
      </c>
      <c r="U53" s="20">
        <v>5</v>
      </c>
      <c r="V53" s="20">
        <v>2</v>
      </c>
      <c r="W53" s="20">
        <v>0</v>
      </c>
      <c r="X53" s="20">
        <v>2</v>
      </c>
      <c r="Y53" s="20">
        <v>4</v>
      </c>
      <c r="Z53" s="20">
        <v>2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18</v>
      </c>
      <c r="F54" s="19">
        <f>T_DOC1[[#This Row],[TOTAL_DOCENTES]]-T_DOC1[[#This Row],[DOCENTES_MONITOREADOS]]</f>
      </c>
      <c r="G54" s="20">
        <v>0</v>
      </c>
      <c r="H54" s="20">
        <v>4</v>
      </c>
      <c r="I54" s="20">
        <v>10</v>
      </c>
      <c r="J54" s="20">
        <v>4</v>
      </c>
      <c r="K54" s="20">
        <v>0</v>
      </c>
      <c r="L54" s="20">
        <v>5</v>
      </c>
      <c r="M54" s="20">
        <v>9</v>
      </c>
      <c r="N54" s="20">
        <v>4</v>
      </c>
      <c r="O54" s="20">
        <v>0</v>
      </c>
      <c r="P54" s="20">
        <v>4</v>
      </c>
      <c r="Q54" s="20">
        <v>10</v>
      </c>
      <c r="R54" s="20">
        <v>4</v>
      </c>
      <c r="S54" s="20">
        <v>0</v>
      </c>
      <c r="T54" s="20">
        <v>2</v>
      </c>
      <c r="U54" s="20">
        <v>12</v>
      </c>
      <c r="V54" s="20">
        <v>4</v>
      </c>
      <c r="W54" s="20">
        <v>0</v>
      </c>
      <c r="X54" s="20">
        <v>3</v>
      </c>
      <c r="Y54" s="20">
        <v>11</v>
      </c>
      <c r="Z54" s="20">
        <v>4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20</v>
      </c>
      <c r="F55" s="19">
        <f>T_DOC1[[#This Row],[TOTAL_DOCENTES]]-T_DOC1[[#This Row],[DOCENTES_MONITOREADOS]]</f>
      </c>
      <c r="G55" s="20">
        <v>0</v>
      </c>
      <c r="H55" s="20">
        <v>5</v>
      </c>
      <c r="I55" s="20">
        <v>10</v>
      </c>
      <c r="J55" s="20">
        <v>5</v>
      </c>
      <c r="K55" s="20">
        <v>0</v>
      </c>
      <c r="L55" s="20">
        <v>6</v>
      </c>
      <c r="M55" s="20">
        <v>9</v>
      </c>
      <c r="N55" s="20">
        <v>5</v>
      </c>
      <c r="O55" s="20">
        <v>0</v>
      </c>
      <c r="P55" s="20">
        <v>5</v>
      </c>
      <c r="Q55" s="20">
        <v>10</v>
      </c>
      <c r="R55" s="20">
        <v>5</v>
      </c>
      <c r="S55" s="20">
        <v>0</v>
      </c>
      <c r="T55" s="20">
        <v>3</v>
      </c>
      <c r="U55" s="20">
        <v>12</v>
      </c>
      <c r="V55" s="20">
        <v>5</v>
      </c>
      <c r="W55" s="20">
        <v>0</v>
      </c>
      <c r="X55" s="20">
        <v>4</v>
      </c>
      <c r="Y55" s="20">
        <v>11</v>
      </c>
      <c r="Z55" s="20">
        <v>5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8</v>
      </c>
      <c r="F56" s="19">
        <f>T_DOC1[[#This Row],[TOTAL_DOCENTES]]-T_DOC1[[#This Row],[DOCENTES_MONITOREADOS]]</f>
      </c>
      <c r="G56" s="20">
        <v>0</v>
      </c>
      <c r="H56" s="20">
        <v>2</v>
      </c>
      <c r="I56" s="20">
        <v>4</v>
      </c>
      <c r="J56" s="20">
        <v>2</v>
      </c>
      <c r="K56" s="20">
        <v>0</v>
      </c>
      <c r="L56" s="20">
        <v>3</v>
      </c>
      <c r="M56" s="20">
        <v>3</v>
      </c>
      <c r="N56" s="20">
        <v>2</v>
      </c>
      <c r="O56" s="20">
        <v>0</v>
      </c>
      <c r="P56" s="20">
        <v>2</v>
      </c>
      <c r="Q56" s="20">
        <v>4</v>
      </c>
      <c r="R56" s="20">
        <v>2</v>
      </c>
      <c r="S56" s="20">
        <v>0</v>
      </c>
      <c r="T56" s="20">
        <v>1</v>
      </c>
      <c r="U56" s="20">
        <v>5</v>
      </c>
      <c r="V56" s="20">
        <v>2</v>
      </c>
      <c r="W56" s="20">
        <v>0</v>
      </c>
      <c r="X56" s="20">
        <v>2</v>
      </c>
      <c r="Y56" s="20">
        <v>4</v>
      </c>
      <c r="Z56" s="20">
        <v>2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18</v>
      </c>
      <c r="F57" s="19">
        <f>T_DOC1[[#This Row],[TOTAL_DOCENTES]]-T_DOC1[[#This Row],[DOCENTES_MONITOREADOS]]</f>
      </c>
      <c r="G57" s="20">
        <v>0</v>
      </c>
      <c r="H57" s="20">
        <v>4</v>
      </c>
      <c r="I57" s="20">
        <v>10</v>
      </c>
      <c r="J57" s="20">
        <v>4</v>
      </c>
      <c r="K57" s="20">
        <v>0</v>
      </c>
      <c r="L57" s="20">
        <v>5</v>
      </c>
      <c r="M57" s="20">
        <v>9</v>
      </c>
      <c r="N57" s="20">
        <v>4</v>
      </c>
      <c r="O57" s="20">
        <v>0</v>
      </c>
      <c r="P57" s="20">
        <v>4</v>
      </c>
      <c r="Q57" s="20">
        <v>10</v>
      </c>
      <c r="R57" s="20">
        <v>4</v>
      </c>
      <c r="S57" s="20">
        <v>0</v>
      </c>
      <c r="T57" s="20">
        <v>2</v>
      </c>
      <c r="U57" s="20">
        <v>12</v>
      </c>
      <c r="V57" s="20">
        <v>4</v>
      </c>
      <c r="W57" s="20">
        <v>0</v>
      </c>
      <c r="X57" s="20">
        <v>3</v>
      </c>
      <c r="Y57" s="20">
        <v>11</v>
      </c>
      <c r="Z57" s="20">
        <v>4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20</v>
      </c>
      <c r="F58" s="19">
        <f>T_DOC1[[#This Row],[TOTAL_DOCENTES]]-T_DOC1[[#This Row],[DOCENTES_MONITOREADOS]]</f>
      </c>
      <c r="G58" s="20">
        <v>0</v>
      </c>
      <c r="H58" s="20">
        <v>5</v>
      </c>
      <c r="I58" s="20">
        <v>10</v>
      </c>
      <c r="J58" s="20">
        <v>5</v>
      </c>
      <c r="K58" s="20">
        <v>0</v>
      </c>
      <c r="L58" s="20">
        <v>6</v>
      </c>
      <c r="M58" s="20">
        <v>9</v>
      </c>
      <c r="N58" s="20">
        <v>5</v>
      </c>
      <c r="O58" s="20">
        <v>0</v>
      </c>
      <c r="P58" s="20">
        <v>5</v>
      </c>
      <c r="Q58" s="20">
        <v>10</v>
      </c>
      <c r="R58" s="20">
        <v>5</v>
      </c>
      <c r="S58" s="20">
        <v>0</v>
      </c>
      <c r="T58" s="20">
        <v>3</v>
      </c>
      <c r="U58" s="20">
        <v>12</v>
      </c>
      <c r="V58" s="20">
        <v>5</v>
      </c>
      <c r="W58" s="20">
        <v>0</v>
      </c>
      <c r="X58" s="20">
        <v>4</v>
      </c>
      <c r="Y58" s="20">
        <v>11</v>
      </c>
      <c r="Z58" s="20">
        <v>5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8</v>
      </c>
      <c r="F59" s="19">
        <f>T_DOC1[[#This Row],[TOTAL_DOCENTES]]-T_DOC1[[#This Row],[DOCENTES_MONITOREADOS]]</f>
      </c>
      <c r="G59" s="20">
        <v>0</v>
      </c>
      <c r="H59" s="20">
        <v>2</v>
      </c>
      <c r="I59" s="20">
        <v>4</v>
      </c>
      <c r="J59" s="20">
        <v>2</v>
      </c>
      <c r="K59" s="20">
        <v>0</v>
      </c>
      <c r="L59" s="20">
        <v>3</v>
      </c>
      <c r="M59" s="20">
        <v>3</v>
      </c>
      <c r="N59" s="20">
        <v>2</v>
      </c>
      <c r="O59" s="20">
        <v>0</v>
      </c>
      <c r="P59" s="20">
        <v>2</v>
      </c>
      <c r="Q59" s="20">
        <v>4</v>
      </c>
      <c r="R59" s="20">
        <v>2</v>
      </c>
      <c r="S59" s="20">
        <v>0</v>
      </c>
      <c r="T59" s="20">
        <v>1</v>
      </c>
      <c r="U59" s="20">
        <v>5</v>
      </c>
      <c r="V59" s="20">
        <v>2</v>
      </c>
      <c r="W59" s="20">
        <v>0</v>
      </c>
      <c r="X59" s="20">
        <v>2</v>
      </c>
      <c r="Y59" s="20">
        <v>4</v>
      </c>
      <c r="Z59" s="20">
        <v>2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18</v>
      </c>
      <c r="F60" s="19">
        <f>T_DOC1[[#This Row],[TOTAL_DOCENTES]]-T_DOC1[[#This Row],[DOCENTES_MONITOREADOS]]</f>
      </c>
      <c r="G60" s="20">
        <v>0</v>
      </c>
      <c r="H60" s="20">
        <v>4</v>
      </c>
      <c r="I60" s="20">
        <v>10</v>
      </c>
      <c r="J60" s="20">
        <v>4</v>
      </c>
      <c r="K60" s="20">
        <v>0</v>
      </c>
      <c r="L60" s="20">
        <v>5</v>
      </c>
      <c r="M60" s="20">
        <v>9</v>
      </c>
      <c r="N60" s="20">
        <v>4</v>
      </c>
      <c r="O60" s="20">
        <v>0</v>
      </c>
      <c r="P60" s="20">
        <v>4</v>
      </c>
      <c r="Q60" s="20">
        <v>10</v>
      </c>
      <c r="R60" s="20">
        <v>4</v>
      </c>
      <c r="S60" s="20">
        <v>0</v>
      </c>
      <c r="T60" s="20">
        <v>2</v>
      </c>
      <c r="U60" s="20">
        <v>12</v>
      </c>
      <c r="V60" s="20">
        <v>4</v>
      </c>
      <c r="W60" s="20">
        <v>0</v>
      </c>
      <c r="X60" s="20">
        <v>3</v>
      </c>
      <c r="Y60" s="20">
        <v>11</v>
      </c>
      <c r="Z60" s="20">
        <v>4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20</v>
      </c>
      <c r="F61" s="19">
        <f>T_DOC1[[#This Row],[TOTAL_DOCENTES]]-T_DOC1[[#This Row],[DOCENTES_MONITOREADOS]]</f>
      </c>
      <c r="G61" s="20">
        <v>0</v>
      </c>
      <c r="H61" s="20">
        <v>5</v>
      </c>
      <c r="I61" s="20">
        <v>10</v>
      </c>
      <c r="J61" s="20">
        <v>5</v>
      </c>
      <c r="K61" s="20">
        <v>0</v>
      </c>
      <c r="L61" s="20">
        <v>6</v>
      </c>
      <c r="M61" s="20">
        <v>9</v>
      </c>
      <c r="N61" s="20">
        <v>5</v>
      </c>
      <c r="O61" s="20">
        <v>0</v>
      </c>
      <c r="P61" s="20">
        <v>5</v>
      </c>
      <c r="Q61" s="20">
        <v>10</v>
      </c>
      <c r="R61" s="20">
        <v>5</v>
      </c>
      <c r="S61" s="20">
        <v>0</v>
      </c>
      <c r="T61" s="20">
        <v>3</v>
      </c>
      <c r="U61" s="20">
        <v>12</v>
      </c>
      <c r="V61" s="20">
        <v>5</v>
      </c>
      <c r="W61" s="20">
        <v>0</v>
      </c>
      <c r="X61" s="20">
        <v>4</v>
      </c>
      <c r="Y61" s="20">
        <v>11</v>
      </c>
      <c r="Z61" s="20">
        <v>5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8</v>
      </c>
      <c r="F62" s="19">
        <f>T_DOC1[[#This Row],[TOTAL_DOCENTES]]-T_DOC1[[#This Row],[DOCENTES_MONITOREADOS]]</f>
      </c>
      <c r="G62" s="20">
        <v>0</v>
      </c>
      <c r="H62" s="20">
        <v>2</v>
      </c>
      <c r="I62" s="20">
        <v>4</v>
      </c>
      <c r="J62" s="20">
        <v>2</v>
      </c>
      <c r="K62" s="20">
        <v>0</v>
      </c>
      <c r="L62" s="20">
        <v>3</v>
      </c>
      <c r="M62" s="20">
        <v>3</v>
      </c>
      <c r="N62" s="20">
        <v>2</v>
      </c>
      <c r="O62" s="20">
        <v>0</v>
      </c>
      <c r="P62" s="20">
        <v>2</v>
      </c>
      <c r="Q62" s="20">
        <v>4</v>
      </c>
      <c r="R62" s="20">
        <v>2</v>
      </c>
      <c r="S62" s="20">
        <v>0</v>
      </c>
      <c r="T62" s="20">
        <v>1</v>
      </c>
      <c r="U62" s="20">
        <v>5</v>
      </c>
      <c r="V62" s="20">
        <v>2</v>
      </c>
      <c r="W62" s="20">
        <v>0</v>
      </c>
      <c r="X62" s="20">
        <v>2</v>
      </c>
      <c r="Y62" s="20">
        <v>4</v>
      </c>
      <c r="Z62" s="20">
        <v>2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18</v>
      </c>
      <c r="F63" s="19">
        <f>T_DOC1[[#This Row],[TOTAL_DOCENTES]]-T_DOC1[[#This Row],[DOCENTES_MONITOREADOS]]</f>
      </c>
      <c r="G63" s="20">
        <v>0</v>
      </c>
      <c r="H63" s="20">
        <v>4</v>
      </c>
      <c r="I63" s="20">
        <v>10</v>
      </c>
      <c r="J63" s="20">
        <v>4</v>
      </c>
      <c r="K63" s="20">
        <v>0</v>
      </c>
      <c r="L63" s="20">
        <v>5</v>
      </c>
      <c r="M63" s="20">
        <v>9</v>
      </c>
      <c r="N63" s="20">
        <v>4</v>
      </c>
      <c r="O63" s="20">
        <v>0</v>
      </c>
      <c r="P63" s="20">
        <v>4</v>
      </c>
      <c r="Q63" s="20">
        <v>10</v>
      </c>
      <c r="R63" s="20">
        <v>4</v>
      </c>
      <c r="S63" s="20">
        <v>0</v>
      </c>
      <c r="T63" s="20">
        <v>2</v>
      </c>
      <c r="U63" s="20">
        <v>12</v>
      </c>
      <c r="V63" s="20">
        <v>4</v>
      </c>
      <c r="W63" s="20">
        <v>0</v>
      </c>
      <c r="X63" s="20">
        <v>3</v>
      </c>
      <c r="Y63" s="20">
        <v>11</v>
      </c>
      <c r="Z63" s="20">
        <v>4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20</v>
      </c>
      <c r="F64" s="19">
        <f>T_DOC1[[#This Row],[TOTAL_DOCENTES]]-T_DOC1[[#This Row],[DOCENTES_MONITOREADOS]]</f>
      </c>
      <c r="G64" s="20">
        <v>0</v>
      </c>
      <c r="H64" s="20">
        <v>5</v>
      </c>
      <c r="I64" s="20">
        <v>10</v>
      </c>
      <c r="J64" s="20">
        <v>5</v>
      </c>
      <c r="K64" s="20">
        <v>0</v>
      </c>
      <c r="L64" s="20">
        <v>6</v>
      </c>
      <c r="M64" s="20">
        <v>9</v>
      </c>
      <c r="N64" s="20">
        <v>5</v>
      </c>
      <c r="O64" s="20">
        <v>0</v>
      </c>
      <c r="P64" s="20">
        <v>5</v>
      </c>
      <c r="Q64" s="20">
        <v>10</v>
      </c>
      <c r="R64" s="20">
        <v>5</v>
      </c>
      <c r="S64" s="20">
        <v>0</v>
      </c>
      <c r="T64" s="20">
        <v>3</v>
      </c>
      <c r="U64" s="20">
        <v>12</v>
      </c>
      <c r="V64" s="20">
        <v>5</v>
      </c>
      <c r="W64" s="20">
        <v>0</v>
      </c>
      <c r="X64" s="20">
        <v>4</v>
      </c>
      <c r="Y64" s="20">
        <v>11</v>
      </c>
      <c r="Z64" s="20">
        <v>5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8</v>
      </c>
      <c r="F65" s="19">
        <f>T_DOC1[[#This Row],[TOTAL_DOCENTES]]-T_DOC1[[#This Row],[DOCENTES_MONITOREADOS]]</f>
      </c>
      <c r="G65" s="20">
        <v>0</v>
      </c>
      <c r="H65" s="20">
        <v>2</v>
      </c>
      <c r="I65" s="20">
        <v>4</v>
      </c>
      <c r="J65" s="20">
        <v>2</v>
      </c>
      <c r="K65" s="20">
        <v>0</v>
      </c>
      <c r="L65" s="20">
        <v>3</v>
      </c>
      <c r="M65" s="20">
        <v>3</v>
      </c>
      <c r="N65" s="20">
        <v>2</v>
      </c>
      <c r="O65" s="20">
        <v>0</v>
      </c>
      <c r="P65" s="20">
        <v>2</v>
      </c>
      <c r="Q65" s="20">
        <v>4</v>
      </c>
      <c r="R65" s="20">
        <v>2</v>
      </c>
      <c r="S65" s="20">
        <v>0</v>
      </c>
      <c r="T65" s="20">
        <v>1</v>
      </c>
      <c r="U65" s="20">
        <v>5</v>
      </c>
      <c r="V65" s="20">
        <v>2</v>
      </c>
      <c r="W65" s="20">
        <v>0</v>
      </c>
      <c r="X65" s="20">
        <v>2</v>
      </c>
      <c r="Y65" s="20">
        <v>4</v>
      </c>
      <c r="Z65" s="20">
        <v>2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18</v>
      </c>
      <c r="F66" s="19">
        <f>T_DOC1[[#This Row],[TOTAL_DOCENTES]]-T_DOC1[[#This Row],[DOCENTES_MONITOREADOS]]</f>
      </c>
      <c r="G66" s="20">
        <v>0</v>
      </c>
      <c r="H66" s="20">
        <v>4</v>
      </c>
      <c r="I66" s="20">
        <v>10</v>
      </c>
      <c r="J66" s="20">
        <v>4</v>
      </c>
      <c r="K66" s="20">
        <v>0</v>
      </c>
      <c r="L66" s="20">
        <v>5</v>
      </c>
      <c r="M66" s="20">
        <v>9</v>
      </c>
      <c r="N66" s="20">
        <v>4</v>
      </c>
      <c r="O66" s="20">
        <v>0</v>
      </c>
      <c r="P66" s="20">
        <v>4</v>
      </c>
      <c r="Q66" s="20">
        <v>10</v>
      </c>
      <c r="R66" s="20">
        <v>4</v>
      </c>
      <c r="S66" s="20">
        <v>0</v>
      </c>
      <c r="T66" s="20">
        <v>2</v>
      </c>
      <c r="U66" s="20">
        <v>12</v>
      </c>
      <c r="V66" s="20">
        <v>4</v>
      </c>
      <c r="W66" s="20">
        <v>0</v>
      </c>
      <c r="X66" s="20">
        <v>3</v>
      </c>
      <c r="Y66" s="20">
        <v>11</v>
      </c>
      <c r="Z66" s="20">
        <v>4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20</v>
      </c>
      <c r="F67" s="19">
        <f>T_DOC1[[#This Row],[TOTAL_DOCENTES]]-T_DOC1[[#This Row],[DOCENTES_MONITOREADOS]]</f>
      </c>
      <c r="G67" s="20">
        <v>0</v>
      </c>
      <c r="H67" s="20">
        <v>5</v>
      </c>
      <c r="I67" s="20">
        <v>10</v>
      </c>
      <c r="J67" s="20">
        <v>5</v>
      </c>
      <c r="K67" s="20">
        <v>0</v>
      </c>
      <c r="L67" s="20">
        <v>6</v>
      </c>
      <c r="M67" s="20">
        <v>9</v>
      </c>
      <c r="N67" s="20">
        <v>5</v>
      </c>
      <c r="O67" s="20">
        <v>0</v>
      </c>
      <c r="P67" s="20">
        <v>5</v>
      </c>
      <c r="Q67" s="20">
        <v>10</v>
      </c>
      <c r="R67" s="20">
        <v>5</v>
      </c>
      <c r="S67" s="20">
        <v>0</v>
      </c>
      <c r="T67" s="20">
        <v>3</v>
      </c>
      <c r="U67" s="20">
        <v>12</v>
      </c>
      <c r="V67" s="20">
        <v>5</v>
      </c>
      <c r="W67" s="20">
        <v>0</v>
      </c>
      <c r="X67" s="20">
        <v>4</v>
      </c>
      <c r="Y67" s="20">
        <v>11</v>
      </c>
      <c r="Z67" s="20">
        <v>5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8</v>
      </c>
      <c r="F68" s="19">
        <f>T_DOC1[[#This Row],[TOTAL_DOCENTES]]-T_DOC1[[#This Row],[DOCENTES_MONITOREADOS]]</f>
      </c>
      <c r="G68" s="20">
        <v>0</v>
      </c>
      <c r="H68" s="20">
        <v>2</v>
      </c>
      <c r="I68" s="20">
        <v>4</v>
      </c>
      <c r="J68" s="20">
        <v>2</v>
      </c>
      <c r="K68" s="20">
        <v>0</v>
      </c>
      <c r="L68" s="20">
        <v>3</v>
      </c>
      <c r="M68" s="20">
        <v>3</v>
      </c>
      <c r="N68" s="20">
        <v>2</v>
      </c>
      <c r="O68" s="20">
        <v>0</v>
      </c>
      <c r="P68" s="20">
        <v>2</v>
      </c>
      <c r="Q68" s="20">
        <v>4</v>
      </c>
      <c r="R68" s="20">
        <v>2</v>
      </c>
      <c r="S68" s="20">
        <v>0</v>
      </c>
      <c r="T68" s="20">
        <v>1</v>
      </c>
      <c r="U68" s="20">
        <v>5</v>
      </c>
      <c r="V68" s="20">
        <v>2</v>
      </c>
      <c r="W68" s="20">
        <v>0</v>
      </c>
      <c r="X68" s="20">
        <v>2</v>
      </c>
      <c r="Y68" s="20">
        <v>4</v>
      </c>
      <c r="Z68" s="20">
        <v>2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18</v>
      </c>
      <c r="F69" s="19">
        <f>T_DOC1[[#This Row],[TOTAL_DOCENTES]]-T_DOC1[[#This Row],[DOCENTES_MONITOREADOS]]</f>
      </c>
      <c r="G69" s="20">
        <v>0</v>
      </c>
      <c r="H69" s="20">
        <v>4</v>
      </c>
      <c r="I69" s="20">
        <v>10</v>
      </c>
      <c r="J69" s="20">
        <v>4</v>
      </c>
      <c r="K69" s="20">
        <v>0</v>
      </c>
      <c r="L69" s="20">
        <v>5</v>
      </c>
      <c r="M69" s="20">
        <v>9</v>
      </c>
      <c r="N69" s="20">
        <v>4</v>
      </c>
      <c r="O69" s="20">
        <v>0</v>
      </c>
      <c r="P69" s="20">
        <v>4</v>
      </c>
      <c r="Q69" s="20">
        <v>10</v>
      </c>
      <c r="R69" s="20">
        <v>4</v>
      </c>
      <c r="S69" s="20">
        <v>0</v>
      </c>
      <c r="T69" s="20">
        <v>2</v>
      </c>
      <c r="U69" s="20">
        <v>12</v>
      </c>
      <c r="V69" s="20">
        <v>4</v>
      </c>
      <c r="W69" s="20">
        <v>0</v>
      </c>
      <c r="X69" s="20">
        <v>3</v>
      </c>
      <c r="Y69" s="20">
        <v>11</v>
      </c>
      <c r="Z69" s="20">
        <v>4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20</v>
      </c>
      <c r="F70" s="19">
        <f>T_DOC1[[#This Row],[TOTAL_DOCENTES]]-T_DOC1[[#This Row],[DOCENTES_MONITOREADOS]]</f>
      </c>
      <c r="G70" s="20">
        <v>0</v>
      </c>
      <c r="H70" s="20">
        <v>5</v>
      </c>
      <c r="I70" s="20">
        <v>10</v>
      </c>
      <c r="J70" s="20">
        <v>5</v>
      </c>
      <c r="K70" s="20">
        <v>0</v>
      </c>
      <c r="L70" s="20">
        <v>6</v>
      </c>
      <c r="M70" s="20">
        <v>9</v>
      </c>
      <c r="N70" s="20">
        <v>5</v>
      </c>
      <c r="O70" s="20">
        <v>0</v>
      </c>
      <c r="P70" s="20">
        <v>5</v>
      </c>
      <c r="Q70" s="20">
        <v>10</v>
      </c>
      <c r="R70" s="20">
        <v>5</v>
      </c>
      <c r="S70" s="20">
        <v>0</v>
      </c>
      <c r="T70" s="20">
        <v>3</v>
      </c>
      <c r="U70" s="20">
        <v>12</v>
      </c>
      <c r="V70" s="20">
        <v>5</v>
      </c>
      <c r="W70" s="20">
        <v>0</v>
      </c>
      <c r="X70" s="20">
        <v>4</v>
      </c>
      <c r="Y70" s="20">
        <v>11</v>
      </c>
      <c r="Z70" s="20">
        <v>5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8</v>
      </c>
      <c r="F71" s="19">
        <f>T_DOC1[[#This Row],[TOTAL_DOCENTES]]-T_DOC1[[#This Row],[DOCENTES_MONITOREADOS]]</f>
      </c>
      <c r="G71" s="20">
        <v>0</v>
      </c>
      <c r="H71" s="20">
        <v>2</v>
      </c>
      <c r="I71" s="20">
        <v>4</v>
      </c>
      <c r="J71" s="20">
        <v>2</v>
      </c>
      <c r="K71" s="20">
        <v>0</v>
      </c>
      <c r="L71" s="20">
        <v>3</v>
      </c>
      <c r="M71" s="20">
        <v>3</v>
      </c>
      <c r="N71" s="20">
        <v>2</v>
      </c>
      <c r="O71" s="20">
        <v>0</v>
      </c>
      <c r="P71" s="20">
        <v>2</v>
      </c>
      <c r="Q71" s="20">
        <v>4</v>
      </c>
      <c r="R71" s="20">
        <v>2</v>
      </c>
      <c r="S71" s="20">
        <v>0</v>
      </c>
      <c r="T71" s="20">
        <v>1</v>
      </c>
      <c r="U71" s="20">
        <v>5</v>
      </c>
      <c r="V71" s="20">
        <v>2</v>
      </c>
      <c r="W71" s="20">
        <v>0</v>
      </c>
      <c r="X71" s="20">
        <v>2</v>
      </c>
      <c r="Y71" s="20">
        <v>4</v>
      </c>
      <c r="Z71" s="20">
        <v>2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18</v>
      </c>
      <c r="F72" s="19">
        <f>T_DOC1[[#This Row],[TOTAL_DOCENTES]]-T_DOC1[[#This Row],[DOCENTES_MONITOREADOS]]</f>
      </c>
      <c r="G72" s="20">
        <v>0</v>
      </c>
      <c r="H72" s="20">
        <v>4</v>
      </c>
      <c r="I72" s="20">
        <v>10</v>
      </c>
      <c r="J72" s="20">
        <v>4</v>
      </c>
      <c r="K72" s="20">
        <v>0</v>
      </c>
      <c r="L72" s="20">
        <v>5</v>
      </c>
      <c r="M72" s="20">
        <v>9</v>
      </c>
      <c r="N72" s="20">
        <v>4</v>
      </c>
      <c r="O72" s="20">
        <v>0</v>
      </c>
      <c r="P72" s="20">
        <v>4</v>
      </c>
      <c r="Q72" s="20">
        <v>10</v>
      </c>
      <c r="R72" s="20">
        <v>4</v>
      </c>
      <c r="S72" s="20">
        <v>0</v>
      </c>
      <c r="T72" s="20">
        <v>2</v>
      </c>
      <c r="U72" s="20">
        <v>12</v>
      </c>
      <c r="V72" s="20">
        <v>4</v>
      </c>
      <c r="W72" s="20">
        <v>0</v>
      </c>
      <c r="X72" s="20">
        <v>3</v>
      </c>
      <c r="Y72" s="20">
        <v>11</v>
      </c>
      <c r="Z72" s="20">
        <v>4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20</v>
      </c>
      <c r="F73" s="19">
        <f>T_DOC1[[#This Row],[TOTAL_DOCENTES]]-T_DOC1[[#This Row],[DOCENTES_MONITOREADOS]]</f>
      </c>
      <c r="G73" s="20">
        <v>0</v>
      </c>
      <c r="H73" s="20">
        <v>5</v>
      </c>
      <c r="I73" s="20">
        <v>10</v>
      </c>
      <c r="J73" s="20">
        <v>5</v>
      </c>
      <c r="K73" s="20">
        <v>0</v>
      </c>
      <c r="L73" s="20">
        <v>6</v>
      </c>
      <c r="M73" s="20">
        <v>9</v>
      </c>
      <c r="N73" s="20">
        <v>5</v>
      </c>
      <c r="O73" s="20">
        <v>0</v>
      </c>
      <c r="P73" s="20">
        <v>5</v>
      </c>
      <c r="Q73" s="20">
        <v>10</v>
      </c>
      <c r="R73" s="20">
        <v>5</v>
      </c>
      <c r="S73" s="20">
        <v>0</v>
      </c>
      <c r="T73" s="20">
        <v>3</v>
      </c>
      <c r="U73" s="20">
        <v>12</v>
      </c>
      <c r="V73" s="20">
        <v>5</v>
      </c>
      <c r="W73" s="20">
        <v>0</v>
      </c>
      <c r="X73" s="20">
        <v>4</v>
      </c>
      <c r="Y73" s="20">
        <v>11</v>
      </c>
      <c r="Z73" s="20">
        <v>5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8</v>
      </c>
      <c r="F74" s="19">
        <f>T_DOC1[[#This Row],[TOTAL_DOCENTES]]-T_DOC1[[#This Row],[DOCENTES_MONITOREADOS]]</f>
      </c>
      <c r="G74" s="20">
        <v>0</v>
      </c>
      <c r="H74" s="20">
        <v>2</v>
      </c>
      <c r="I74" s="20">
        <v>4</v>
      </c>
      <c r="J74" s="20">
        <v>2</v>
      </c>
      <c r="K74" s="20">
        <v>0</v>
      </c>
      <c r="L74" s="20">
        <v>3</v>
      </c>
      <c r="M74" s="20">
        <v>3</v>
      </c>
      <c r="N74" s="20">
        <v>2</v>
      </c>
      <c r="O74" s="20">
        <v>0</v>
      </c>
      <c r="P74" s="20">
        <v>2</v>
      </c>
      <c r="Q74" s="20">
        <v>4</v>
      </c>
      <c r="R74" s="20">
        <v>2</v>
      </c>
      <c r="S74" s="20">
        <v>0</v>
      </c>
      <c r="T74" s="20">
        <v>1</v>
      </c>
      <c r="U74" s="20">
        <v>5</v>
      </c>
      <c r="V74" s="20">
        <v>2</v>
      </c>
      <c r="W74" s="20">
        <v>0</v>
      </c>
      <c r="X74" s="20">
        <v>2</v>
      </c>
      <c r="Y74" s="20">
        <v>4</v>
      </c>
      <c r="Z74" s="20">
        <v>2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18</v>
      </c>
      <c r="F75" s="19">
        <f>T_DOC1[[#This Row],[TOTAL_DOCENTES]]-T_DOC1[[#This Row],[DOCENTES_MONITOREADOS]]</f>
      </c>
      <c r="G75" s="20">
        <v>0</v>
      </c>
      <c r="H75" s="20">
        <v>4</v>
      </c>
      <c r="I75" s="20">
        <v>10</v>
      </c>
      <c r="J75" s="20">
        <v>4</v>
      </c>
      <c r="K75" s="20">
        <v>0</v>
      </c>
      <c r="L75" s="20">
        <v>5</v>
      </c>
      <c r="M75" s="20">
        <v>9</v>
      </c>
      <c r="N75" s="20">
        <v>4</v>
      </c>
      <c r="O75" s="20">
        <v>0</v>
      </c>
      <c r="P75" s="20">
        <v>4</v>
      </c>
      <c r="Q75" s="20">
        <v>10</v>
      </c>
      <c r="R75" s="20">
        <v>4</v>
      </c>
      <c r="S75" s="20">
        <v>0</v>
      </c>
      <c r="T75" s="20">
        <v>2</v>
      </c>
      <c r="U75" s="20">
        <v>12</v>
      </c>
      <c r="V75" s="20">
        <v>4</v>
      </c>
      <c r="W75" s="20">
        <v>0</v>
      </c>
      <c r="X75" s="20">
        <v>3</v>
      </c>
      <c r="Y75" s="20">
        <v>11</v>
      </c>
      <c r="Z75" s="20">
        <v>4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20</v>
      </c>
      <c r="F76" s="19">
        <f>T_DOC1[[#This Row],[TOTAL_DOCENTES]]-T_DOC1[[#This Row],[DOCENTES_MONITOREADOS]]</f>
      </c>
      <c r="G76" s="20">
        <v>0</v>
      </c>
      <c r="H76" s="20">
        <v>5</v>
      </c>
      <c r="I76" s="20">
        <v>10</v>
      </c>
      <c r="J76" s="20">
        <v>5</v>
      </c>
      <c r="K76" s="20">
        <v>0</v>
      </c>
      <c r="L76" s="20">
        <v>6</v>
      </c>
      <c r="M76" s="20">
        <v>9</v>
      </c>
      <c r="N76" s="20">
        <v>5</v>
      </c>
      <c r="O76" s="20">
        <v>0</v>
      </c>
      <c r="P76" s="20">
        <v>5</v>
      </c>
      <c r="Q76" s="20">
        <v>10</v>
      </c>
      <c r="R76" s="20">
        <v>5</v>
      </c>
      <c r="S76" s="20">
        <v>0</v>
      </c>
      <c r="T76" s="20">
        <v>3</v>
      </c>
      <c r="U76" s="20">
        <v>12</v>
      </c>
      <c r="V76" s="20">
        <v>5</v>
      </c>
      <c r="W76" s="20">
        <v>0</v>
      </c>
      <c r="X76" s="20">
        <v>4</v>
      </c>
      <c r="Y76" s="20">
        <v>11</v>
      </c>
      <c r="Z76" s="20">
        <v>5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8</v>
      </c>
      <c r="F77" s="19">
        <f>T_DOC1[[#This Row],[TOTAL_DOCENTES]]-T_DOC1[[#This Row],[DOCENTES_MONITOREADOS]]</f>
      </c>
      <c r="G77" s="20">
        <v>0</v>
      </c>
      <c r="H77" s="20">
        <v>2</v>
      </c>
      <c r="I77" s="20">
        <v>4</v>
      </c>
      <c r="J77" s="20">
        <v>2</v>
      </c>
      <c r="K77" s="20">
        <v>0</v>
      </c>
      <c r="L77" s="20">
        <v>3</v>
      </c>
      <c r="M77" s="20">
        <v>3</v>
      </c>
      <c r="N77" s="20">
        <v>2</v>
      </c>
      <c r="O77" s="20">
        <v>0</v>
      </c>
      <c r="P77" s="20">
        <v>2</v>
      </c>
      <c r="Q77" s="20">
        <v>4</v>
      </c>
      <c r="R77" s="20">
        <v>2</v>
      </c>
      <c r="S77" s="20">
        <v>0</v>
      </c>
      <c r="T77" s="20">
        <v>1</v>
      </c>
      <c r="U77" s="20">
        <v>5</v>
      </c>
      <c r="V77" s="20">
        <v>2</v>
      </c>
      <c r="W77" s="20">
        <v>0</v>
      </c>
      <c r="X77" s="20">
        <v>2</v>
      </c>
      <c r="Y77" s="20">
        <v>4</v>
      </c>
      <c r="Z77" s="20">
        <v>2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18</v>
      </c>
      <c r="F78" s="19">
        <f>T_DOC1[[#This Row],[TOTAL_DOCENTES]]-T_DOC1[[#This Row],[DOCENTES_MONITOREADOS]]</f>
      </c>
      <c r="G78" s="20">
        <v>0</v>
      </c>
      <c r="H78" s="20">
        <v>4</v>
      </c>
      <c r="I78" s="20">
        <v>10</v>
      </c>
      <c r="J78" s="20">
        <v>4</v>
      </c>
      <c r="K78" s="20">
        <v>0</v>
      </c>
      <c r="L78" s="20">
        <v>5</v>
      </c>
      <c r="M78" s="20">
        <v>9</v>
      </c>
      <c r="N78" s="20">
        <v>4</v>
      </c>
      <c r="O78" s="20">
        <v>0</v>
      </c>
      <c r="P78" s="20">
        <v>4</v>
      </c>
      <c r="Q78" s="20">
        <v>10</v>
      </c>
      <c r="R78" s="20">
        <v>4</v>
      </c>
      <c r="S78" s="20">
        <v>0</v>
      </c>
      <c r="T78" s="20">
        <v>2</v>
      </c>
      <c r="U78" s="20">
        <v>12</v>
      </c>
      <c r="V78" s="20">
        <v>4</v>
      </c>
      <c r="W78" s="20">
        <v>0</v>
      </c>
      <c r="X78" s="20">
        <v>3</v>
      </c>
      <c r="Y78" s="20">
        <v>11</v>
      </c>
      <c r="Z78" s="20">
        <v>4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20</v>
      </c>
      <c r="F79" s="19">
        <f>T_DOC1[[#This Row],[TOTAL_DOCENTES]]-T_DOC1[[#This Row],[DOCENTES_MONITOREADOS]]</f>
      </c>
      <c r="G79" s="20">
        <v>0</v>
      </c>
      <c r="H79" s="20">
        <v>5</v>
      </c>
      <c r="I79" s="20">
        <v>10</v>
      </c>
      <c r="J79" s="20">
        <v>5</v>
      </c>
      <c r="K79" s="20">
        <v>0</v>
      </c>
      <c r="L79" s="20">
        <v>6</v>
      </c>
      <c r="M79" s="20">
        <v>9</v>
      </c>
      <c r="N79" s="20">
        <v>5</v>
      </c>
      <c r="O79" s="20">
        <v>0</v>
      </c>
      <c r="P79" s="20">
        <v>5</v>
      </c>
      <c r="Q79" s="20">
        <v>10</v>
      </c>
      <c r="R79" s="20">
        <v>5</v>
      </c>
      <c r="S79" s="20">
        <v>0</v>
      </c>
      <c r="T79" s="20">
        <v>3</v>
      </c>
      <c r="U79" s="20">
        <v>12</v>
      </c>
      <c r="V79" s="20">
        <v>5</v>
      </c>
      <c r="W79" s="20">
        <v>0</v>
      </c>
      <c r="X79" s="20">
        <v>4</v>
      </c>
      <c r="Y79" s="20">
        <v>11</v>
      </c>
      <c r="Z79" s="20">
        <v>5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8</v>
      </c>
      <c r="F80" s="19">
        <f>T_DOC1[[#This Row],[TOTAL_DOCENTES]]-T_DOC1[[#This Row],[DOCENTES_MONITOREADOS]]</f>
      </c>
      <c r="G80" s="20">
        <v>0</v>
      </c>
      <c r="H80" s="20">
        <v>2</v>
      </c>
      <c r="I80" s="20">
        <v>4</v>
      </c>
      <c r="J80" s="20">
        <v>2</v>
      </c>
      <c r="K80" s="20">
        <v>0</v>
      </c>
      <c r="L80" s="20">
        <v>3</v>
      </c>
      <c r="M80" s="20">
        <v>3</v>
      </c>
      <c r="N80" s="20">
        <v>2</v>
      </c>
      <c r="O80" s="20">
        <v>0</v>
      </c>
      <c r="P80" s="20">
        <v>2</v>
      </c>
      <c r="Q80" s="20">
        <v>4</v>
      </c>
      <c r="R80" s="20">
        <v>2</v>
      </c>
      <c r="S80" s="20">
        <v>0</v>
      </c>
      <c r="T80" s="20">
        <v>1</v>
      </c>
      <c r="U80" s="20">
        <v>5</v>
      </c>
      <c r="V80" s="20">
        <v>2</v>
      </c>
      <c r="W80" s="20">
        <v>0</v>
      </c>
      <c r="X80" s="20">
        <v>2</v>
      </c>
      <c r="Y80" s="20">
        <v>4</v>
      </c>
      <c r="Z80" s="20">
        <v>2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18</v>
      </c>
      <c r="F81" s="19">
        <f>T_DOC1[[#This Row],[TOTAL_DOCENTES]]-T_DOC1[[#This Row],[DOCENTES_MONITOREADOS]]</f>
      </c>
      <c r="G81" s="20">
        <v>0</v>
      </c>
      <c r="H81" s="20">
        <v>4</v>
      </c>
      <c r="I81" s="20">
        <v>10</v>
      </c>
      <c r="J81" s="20">
        <v>4</v>
      </c>
      <c r="K81" s="20">
        <v>0</v>
      </c>
      <c r="L81" s="20">
        <v>5</v>
      </c>
      <c r="M81" s="20">
        <v>9</v>
      </c>
      <c r="N81" s="20">
        <v>4</v>
      </c>
      <c r="O81" s="20">
        <v>0</v>
      </c>
      <c r="P81" s="20">
        <v>4</v>
      </c>
      <c r="Q81" s="20">
        <v>10</v>
      </c>
      <c r="R81" s="20">
        <v>4</v>
      </c>
      <c r="S81" s="20">
        <v>0</v>
      </c>
      <c r="T81" s="20">
        <v>2</v>
      </c>
      <c r="U81" s="20">
        <v>12</v>
      </c>
      <c r="V81" s="20">
        <v>4</v>
      </c>
      <c r="W81" s="20">
        <v>0</v>
      </c>
      <c r="X81" s="20">
        <v>3</v>
      </c>
      <c r="Y81" s="20">
        <v>11</v>
      </c>
      <c r="Z81" s="20">
        <v>4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20</v>
      </c>
      <c r="F82" s="19">
        <f>T_DOC1[[#This Row],[TOTAL_DOCENTES]]-T_DOC1[[#This Row],[DOCENTES_MONITOREADOS]]</f>
      </c>
      <c r="G82" s="20">
        <v>0</v>
      </c>
      <c r="H82" s="20">
        <v>5</v>
      </c>
      <c r="I82" s="20">
        <v>10</v>
      </c>
      <c r="J82" s="20">
        <v>5</v>
      </c>
      <c r="K82" s="20">
        <v>0</v>
      </c>
      <c r="L82" s="20">
        <v>6</v>
      </c>
      <c r="M82" s="20">
        <v>9</v>
      </c>
      <c r="N82" s="20">
        <v>5</v>
      </c>
      <c r="O82" s="20">
        <v>0</v>
      </c>
      <c r="P82" s="20">
        <v>5</v>
      </c>
      <c r="Q82" s="20">
        <v>10</v>
      </c>
      <c r="R82" s="20">
        <v>5</v>
      </c>
      <c r="S82" s="20">
        <v>0</v>
      </c>
      <c r="T82" s="20">
        <v>3</v>
      </c>
      <c r="U82" s="20">
        <v>12</v>
      </c>
      <c r="V82" s="20">
        <v>5</v>
      </c>
      <c r="W82" s="20">
        <v>0</v>
      </c>
      <c r="X82" s="20">
        <v>4</v>
      </c>
      <c r="Y82" s="20">
        <v>11</v>
      </c>
      <c r="Z82" s="20">
        <v>5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8</v>
      </c>
      <c r="F83" s="19">
        <f>T_DOC1[[#This Row],[TOTAL_DOCENTES]]-T_DOC1[[#This Row],[DOCENTES_MONITOREADOS]]</f>
      </c>
      <c r="G83" s="20">
        <v>0</v>
      </c>
      <c r="H83" s="20">
        <v>2</v>
      </c>
      <c r="I83" s="20">
        <v>4</v>
      </c>
      <c r="J83" s="20">
        <v>2</v>
      </c>
      <c r="K83" s="20">
        <v>0</v>
      </c>
      <c r="L83" s="20">
        <v>3</v>
      </c>
      <c r="M83" s="20">
        <v>3</v>
      </c>
      <c r="N83" s="20">
        <v>2</v>
      </c>
      <c r="O83" s="20">
        <v>0</v>
      </c>
      <c r="P83" s="20">
        <v>2</v>
      </c>
      <c r="Q83" s="20">
        <v>4</v>
      </c>
      <c r="R83" s="20">
        <v>2</v>
      </c>
      <c r="S83" s="20">
        <v>0</v>
      </c>
      <c r="T83" s="20">
        <v>1</v>
      </c>
      <c r="U83" s="20">
        <v>5</v>
      </c>
      <c r="V83" s="20">
        <v>2</v>
      </c>
      <c r="W83" s="20">
        <v>0</v>
      </c>
      <c r="X83" s="20">
        <v>2</v>
      </c>
      <c r="Y83" s="20">
        <v>4</v>
      </c>
      <c r="Z83" s="20">
        <v>2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18</v>
      </c>
      <c r="F84" s="19">
        <f>T_DOC1[[#This Row],[TOTAL_DOCENTES]]-T_DOC1[[#This Row],[DOCENTES_MONITOREADOS]]</f>
      </c>
      <c r="G84" s="20">
        <v>0</v>
      </c>
      <c r="H84" s="20">
        <v>4</v>
      </c>
      <c r="I84" s="20">
        <v>10</v>
      </c>
      <c r="J84" s="20">
        <v>4</v>
      </c>
      <c r="K84" s="20">
        <v>0</v>
      </c>
      <c r="L84" s="20">
        <v>5</v>
      </c>
      <c r="M84" s="20">
        <v>9</v>
      </c>
      <c r="N84" s="20">
        <v>4</v>
      </c>
      <c r="O84" s="20">
        <v>0</v>
      </c>
      <c r="P84" s="20">
        <v>4</v>
      </c>
      <c r="Q84" s="20">
        <v>10</v>
      </c>
      <c r="R84" s="20">
        <v>4</v>
      </c>
      <c r="S84" s="20">
        <v>0</v>
      </c>
      <c r="T84" s="20">
        <v>2</v>
      </c>
      <c r="U84" s="20">
        <v>12</v>
      </c>
      <c r="V84" s="20">
        <v>4</v>
      </c>
      <c r="W84" s="20">
        <v>0</v>
      </c>
      <c r="X84" s="20">
        <v>3</v>
      </c>
      <c r="Y84" s="20">
        <v>11</v>
      </c>
      <c r="Z84" s="20">
        <v>4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20</v>
      </c>
      <c r="F85" s="19">
        <f>T_DOC1[[#This Row],[TOTAL_DOCENTES]]-T_DOC1[[#This Row],[DOCENTES_MONITOREADOS]]</f>
      </c>
      <c r="G85" s="20">
        <v>0</v>
      </c>
      <c r="H85" s="20">
        <v>5</v>
      </c>
      <c r="I85" s="20">
        <v>10</v>
      </c>
      <c r="J85" s="20">
        <v>5</v>
      </c>
      <c r="K85" s="20">
        <v>0</v>
      </c>
      <c r="L85" s="20">
        <v>6</v>
      </c>
      <c r="M85" s="20">
        <v>9</v>
      </c>
      <c r="N85" s="20">
        <v>5</v>
      </c>
      <c r="O85" s="20">
        <v>0</v>
      </c>
      <c r="P85" s="20">
        <v>5</v>
      </c>
      <c r="Q85" s="20">
        <v>10</v>
      </c>
      <c r="R85" s="20">
        <v>5</v>
      </c>
      <c r="S85" s="20">
        <v>0</v>
      </c>
      <c r="T85" s="20">
        <v>3</v>
      </c>
      <c r="U85" s="20">
        <v>12</v>
      </c>
      <c r="V85" s="20">
        <v>5</v>
      </c>
      <c r="W85" s="20">
        <v>0</v>
      </c>
      <c r="X85" s="20">
        <v>4</v>
      </c>
      <c r="Y85" s="20">
        <v>11</v>
      </c>
      <c r="Z85" s="20">
        <v>5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8</v>
      </c>
      <c r="F86" s="19">
        <f>T_DOC1[[#This Row],[TOTAL_DOCENTES]]-T_DOC1[[#This Row],[DOCENTES_MONITOREADOS]]</f>
      </c>
      <c r="G86" s="20">
        <v>0</v>
      </c>
      <c r="H86" s="20">
        <v>2</v>
      </c>
      <c r="I86" s="20">
        <v>4</v>
      </c>
      <c r="J86" s="20">
        <v>2</v>
      </c>
      <c r="K86" s="20">
        <v>0</v>
      </c>
      <c r="L86" s="20">
        <v>3</v>
      </c>
      <c r="M86" s="20">
        <v>3</v>
      </c>
      <c r="N86" s="20">
        <v>2</v>
      </c>
      <c r="O86" s="20">
        <v>0</v>
      </c>
      <c r="P86" s="20">
        <v>2</v>
      </c>
      <c r="Q86" s="20">
        <v>4</v>
      </c>
      <c r="R86" s="20">
        <v>2</v>
      </c>
      <c r="S86" s="20">
        <v>0</v>
      </c>
      <c r="T86" s="20">
        <v>1</v>
      </c>
      <c r="U86" s="20">
        <v>5</v>
      </c>
      <c r="V86" s="20">
        <v>2</v>
      </c>
      <c r="W86" s="20">
        <v>0</v>
      </c>
      <c r="X86" s="20">
        <v>2</v>
      </c>
      <c r="Y86" s="20">
        <v>4</v>
      </c>
      <c r="Z86" s="20">
        <v>2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18</v>
      </c>
      <c r="F87" s="19">
        <f>T_DOC1[[#This Row],[TOTAL_DOCENTES]]-T_DOC1[[#This Row],[DOCENTES_MONITOREADOS]]</f>
      </c>
      <c r="G87" s="20">
        <v>0</v>
      </c>
      <c r="H87" s="20">
        <v>4</v>
      </c>
      <c r="I87" s="20">
        <v>10</v>
      </c>
      <c r="J87" s="20">
        <v>4</v>
      </c>
      <c r="K87" s="20">
        <v>0</v>
      </c>
      <c r="L87" s="20">
        <v>5</v>
      </c>
      <c r="M87" s="20">
        <v>9</v>
      </c>
      <c r="N87" s="20">
        <v>4</v>
      </c>
      <c r="O87" s="20">
        <v>0</v>
      </c>
      <c r="P87" s="20">
        <v>4</v>
      </c>
      <c r="Q87" s="20">
        <v>10</v>
      </c>
      <c r="R87" s="20">
        <v>4</v>
      </c>
      <c r="S87" s="20">
        <v>0</v>
      </c>
      <c r="T87" s="20">
        <v>2</v>
      </c>
      <c r="U87" s="20">
        <v>12</v>
      </c>
      <c r="V87" s="20">
        <v>4</v>
      </c>
      <c r="W87" s="20">
        <v>0</v>
      </c>
      <c r="X87" s="20">
        <v>3</v>
      </c>
      <c r="Y87" s="20">
        <v>11</v>
      </c>
      <c r="Z87" s="20">
        <v>4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20</v>
      </c>
      <c r="F88" s="19">
        <f>T_DOC1[[#This Row],[TOTAL_DOCENTES]]-T_DOC1[[#This Row],[DOCENTES_MONITOREADOS]]</f>
      </c>
      <c r="G88" s="20">
        <v>0</v>
      </c>
      <c r="H88" s="20">
        <v>5</v>
      </c>
      <c r="I88" s="20">
        <v>10</v>
      </c>
      <c r="J88" s="20">
        <v>5</v>
      </c>
      <c r="K88" s="20">
        <v>0</v>
      </c>
      <c r="L88" s="20">
        <v>6</v>
      </c>
      <c r="M88" s="20">
        <v>9</v>
      </c>
      <c r="N88" s="20">
        <v>5</v>
      </c>
      <c r="O88" s="20">
        <v>0</v>
      </c>
      <c r="P88" s="20">
        <v>5</v>
      </c>
      <c r="Q88" s="20">
        <v>10</v>
      </c>
      <c r="R88" s="20">
        <v>5</v>
      </c>
      <c r="S88" s="20">
        <v>0</v>
      </c>
      <c r="T88" s="20">
        <v>3</v>
      </c>
      <c r="U88" s="20">
        <v>12</v>
      </c>
      <c r="V88" s="20">
        <v>5</v>
      </c>
      <c r="W88" s="20">
        <v>0</v>
      </c>
      <c r="X88" s="20">
        <v>4</v>
      </c>
      <c r="Y88" s="20">
        <v>11</v>
      </c>
      <c r="Z88" s="20">
        <v>5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8</v>
      </c>
      <c r="F89" s="19">
        <f>T_DOC1[[#This Row],[TOTAL_DOCENTES]]-T_DOC1[[#This Row],[DOCENTES_MONITOREADOS]]</f>
      </c>
      <c r="G89" s="20">
        <v>0</v>
      </c>
      <c r="H89" s="20">
        <v>2</v>
      </c>
      <c r="I89" s="20">
        <v>4</v>
      </c>
      <c r="J89" s="20">
        <v>2</v>
      </c>
      <c r="K89" s="20">
        <v>0</v>
      </c>
      <c r="L89" s="20">
        <v>3</v>
      </c>
      <c r="M89" s="20">
        <v>3</v>
      </c>
      <c r="N89" s="20">
        <v>2</v>
      </c>
      <c r="O89" s="20">
        <v>0</v>
      </c>
      <c r="P89" s="20">
        <v>2</v>
      </c>
      <c r="Q89" s="20">
        <v>4</v>
      </c>
      <c r="R89" s="20">
        <v>2</v>
      </c>
      <c r="S89" s="20">
        <v>0</v>
      </c>
      <c r="T89" s="20">
        <v>1</v>
      </c>
      <c r="U89" s="20">
        <v>5</v>
      </c>
      <c r="V89" s="20">
        <v>2</v>
      </c>
      <c r="W89" s="20">
        <v>0</v>
      </c>
      <c r="X89" s="20">
        <v>2</v>
      </c>
      <c r="Y89" s="20">
        <v>4</v>
      </c>
      <c r="Z89" s="20">
        <v>2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18</v>
      </c>
      <c r="F90" s="19">
        <f>T_DOC1[[#This Row],[TOTAL_DOCENTES]]-T_DOC1[[#This Row],[DOCENTES_MONITOREADOS]]</f>
      </c>
      <c r="G90" s="20">
        <v>0</v>
      </c>
      <c r="H90" s="20">
        <v>4</v>
      </c>
      <c r="I90" s="20">
        <v>10</v>
      </c>
      <c r="J90" s="20">
        <v>4</v>
      </c>
      <c r="K90" s="20">
        <v>0</v>
      </c>
      <c r="L90" s="20">
        <v>5</v>
      </c>
      <c r="M90" s="20">
        <v>9</v>
      </c>
      <c r="N90" s="20">
        <v>4</v>
      </c>
      <c r="O90" s="20">
        <v>0</v>
      </c>
      <c r="P90" s="20">
        <v>4</v>
      </c>
      <c r="Q90" s="20">
        <v>10</v>
      </c>
      <c r="R90" s="20">
        <v>4</v>
      </c>
      <c r="S90" s="20">
        <v>0</v>
      </c>
      <c r="T90" s="20">
        <v>2</v>
      </c>
      <c r="U90" s="20">
        <v>12</v>
      </c>
      <c r="V90" s="20">
        <v>4</v>
      </c>
      <c r="W90" s="20">
        <v>0</v>
      </c>
      <c r="X90" s="20">
        <v>3</v>
      </c>
      <c r="Y90" s="20">
        <v>11</v>
      </c>
      <c r="Z90" s="20">
        <v>4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20</v>
      </c>
      <c r="F91" s="19">
        <f>T_DOC1[[#This Row],[TOTAL_DOCENTES]]-T_DOC1[[#This Row],[DOCENTES_MONITOREADOS]]</f>
      </c>
      <c r="G91" s="20">
        <v>0</v>
      </c>
      <c r="H91" s="20">
        <v>5</v>
      </c>
      <c r="I91" s="20">
        <v>10</v>
      </c>
      <c r="J91" s="20">
        <v>5</v>
      </c>
      <c r="K91" s="20">
        <v>0</v>
      </c>
      <c r="L91" s="20">
        <v>6</v>
      </c>
      <c r="M91" s="20">
        <v>9</v>
      </c>
      <c r="N91" s="20">
        <v>5</v>
      </c>
      <c r="O91" s="20">
        <v>0</v>
      </c>
      <c r="P91" s="20">
        <v>5</v>
      </c>
      <c r="Q91" s="20">
        <v>10</v>
      </c>
      <c r="R91" s="20">
        <v>5</v>
      </c>
      <c r="S91" s="20">
        <v>0</v>
      </c>
      <c r="T91" s="20">
        <v>3</v>
      </c>
      <c r="U91" s="20">
        <v>12</v>
      </c>
      <c r="V91" s="20">
        <v>5</v>
      </c>
      <c r="W91" s="20">
        <v>0</v>
      </c>
      <c r="X91" s="20">
        <v>4</v>
      </c>
      <c r="Y91" s="20">
        <v>11</v>
      </c>
      <c r="Z91" s="20">
        <v>5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8</v>
      </c>
      <c r="F92" s="19">
        <f>T_DOC1[[#This Row],[TOTAL_DOCENTES]]-T_DOC1[[#This Row],[DOCENTES_MONITOREADOS]]</f>
      </c>
      <c r="G92" s="20">
        <v>0</v>
      </c>
      <c r="H92" s="20">
        <v>2</v>
      </c>
      <c r="I92" s="20">
        <v>4</v>
      </c>
      <c r="J92" s="20">
        <v>2</v>
      </c>
      <c r="K92" s="20">
        <v>0</v>
      </c>
      <c r="L92" s="20">
        <v>3</v>
      </c>
      <c r="M92" s="20">
        <v>3</v>
      </c>
      <c r="N92" s="20">
        <v>2</v>
      </c>
      <c r="O92" s="20">
        <v>0</v>
      </c>
      <c r="P92" s="20">
        <v>2</v>
      </c>
      <c r="Q92" s="20">
        <v>4</v>
      </c>
      <c r="R92" s="20">
        <v>2</v>
      </c>
      <c r="S92" s="20">
        <v>0</v>
      </c>
      <c r="T92" s="20">
        <v>1</v>
      </c>
      <c r="U92" s="20">
        <v>5</v>
      </c>
      <c r="V92" s="20">
        <v>2</v>
      </c>
      <c r="W92" s="20">
        <v>0</v>
      </c>
      <c r="X92" s="20">
        <v>2</v>
      </c>
      <c r="Y92" s="20">
        <v>4</v>
      </c>
      <c r="Z92" s="20">
        <v>2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18</v>
      </c>
      <c r="F93" s="19">
        <f>T_DOC1[[#This Row],[TOTAL_DOCENTES]]-T_DOC1[[#This Row],[DOCENTES_MONITOREADOS]]</f>
      </c>
      <c r="G93" s="20">
        <v>0</v>
      </c>
      <c r="H93" s="20">
        <v>4</v>
      </c>
      <c r="I93" s="20">
        <v>10</v>
      </c>
      <c r="J93" s="20">
        <v>4</v>
      </c>
      <c r="K93" s="20">
        <v>0</v>
      </c>
      <c r="L93" s="20">
        <v>5</v>
      </c>
      <c r="M93" s="20">
        <v>9</v>
      </c>
      <c r="N93" s="20">
        <v>4</v>
      </c>
      <c r="O93" s="20">
        <v>0</v>
      </c>
      <c r="P93" s="20">
        <v>4</v>
      </c>
      <c r="Q93" s="20">
        <v>10</v>
      </c>
      <c r="R93" s="20">
        <v>4</v>
      </c>
      <c r="S93" s="20">
        <v>0</v>
      </c>
      <c r="T93" s="20">
        <v>2</v>
      </c>
      <c r="U93" s="20">
        <v>12</v>
      </c>
      <c r="V93" s="20">
        <v>4</v>
      </c>
      <c r="W93" s="20">
        <v>0</v>
      </c>
      <c r="X93" s="20">
        <v>3</v>
      </c>
      <c r="Y93" s="20">
        <v>11</v>
      </c>
      <c r="Z93" s="20">
        <v>4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20</v>
      </c>
      <c r="F94" s="19">
        <f>T_DOC1[[#This Row],[TOTAL_DOCENTES]]-T_DOC1[[#This Row],[DOCENTES_MONITOREADOS]]</f>
      </c>
      <c r="G94" s="20">
        <v>0</v>
      </c>
      <c r="H94" s="20">
        <v>5</v>
      </c>
      <c r="I94" s="20">
        <v>10</v>
      </c>
      <c r="J94" s="20">
        <v>5</v>
      </c>
      <c r="K94" s="20">
        <v>0</v>
      </c>
      <c r="L94" s="20">
        <v>6</v>
      </c>
      <c r="M94" s="20">
        <v>9</v>
      </c>
      <c r="N94" s="20">
        <v>5</v>
      </c>
      <c r="O94" s="20">
        <v>0</v>
      </c>
      <c r="P94" s="20">
        <v>5</v>
      </c>
      <c r="Q94" s="20">
        <v>10</v>
      </c>
      <c r="R94" s="20">
        <v>5</v>
      </c>
      <c r="S94" s="20">
        <v>0</v>
      </c>
      <c r="T94" s="20">
        <v>3</v>
      </c>
      <c r="U94" s="20">
        <v>12</v>
      </c>
      <c r="V94" s="20">
        <v>5</v>
      </c>
      <c r="W94" s="20">
        <v>0</v>
      </c>
      <c r="X94" s="20">
        <v>4</v>
      </c>
      <c r="Y94" s="20">
        <v>11</v>
      </c>
      <c r="Z94" s="20">
        <v>5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8</v>
      </c>
      <c r="F95" s="19">
        <f>T_DOC1[[#This Row],[TOTAL_DOCENTES]]-T_DOC1[[#This Row],[DOCENTES_MONITOREADOS]]</f>
      </c>
      <c r="G95" s="20">
        <v>0</v>
      </c>
      <c r="H95" s="20">
        <v>2</v>
      </c>
      <c r="I95" s="20">
        <v>4</v>
      </c>
      <c r="J95" s="20">
        <v>2</v>
      </c>
      <c r="K95" s="20">
        <v>0</v>
      </c>
      <c r="L95" s="20">
        <v>3</v>
      </c>
      <c r="M95" s="20">
        <v>3</v>
      </c>
      <c r="N95" s="20">
        <v>2</v>
      </c>
      <c r="O95" s="20">
        <v>0</v>
      </c>
      <c r="P95" s="20">
        <v>2</v>
      </c>
      <c r="Q95" s="20">
        <v>4</v>
      </c>
      <c r="R95" s="20">
        <v>2</v>
      </c>
      <c r="S95" s="20">
        <v>0</v>
      </c>
      <c r="T95" s="20">
        <v>1</v>
      </c>
      <c r="U95" s="20">
        <v>5</v>
      </c>
      <c r="V95" s="20">
        <v>2</v>
      </c>
      <c r="W95" s="20">
        <v>0</v>
      </c>
      <c r="X95" s="20">
        <v>2</v>
      </c>
      <c r="Y95" s="20">
        <v>4</v>
      </c>
      <c r="Z95" s="20">
        <v>2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18</v>
      </c>
      <c r="F96" s="19">
        <f>T_DOC1[[#This Row],[TOTAL_DOCENTES]]-T_DOC1[[#This Row],[DOCENTES_MONITOREADOS]]</f>
      </c>
      <c r="G96" s="20">
        <v>0</v>
      </c>
      <c r="H96" s="20">
        <v>4</v>
      </c>
      <c r="I96" s="20">
        <v>10</v>
      </c>
      <c r="J96" s="20">
        <v>4</v>
      </c>
      <c r="K96" s="20">
        <v>0</v>
      </c>
      <c r="L96" s="20">
        <v>5</v>
      </c>
      <c r="M96" s="20">
        <v>9</v>
      </c>
      <c r="N96" s="20">
        <v>4</v>
      </c>
      <c r="O96" s="20">
        <v>0</v>
      </c>
      <c r="P96" s="20">
        <v>4</v>
      </c>
      <c r="Q96" s="20">
        <v>10</v>
      </c>
      <c r="R96" s="20">
        <v>4</v>
      </c>
      <c r="S96" s="20">
        <v>0</v>
      </c>
      <c r="T96" s="20">
        <v>2</v>
      </c>
      <c r="U96" s="20">
        <v>12</v>
      </c>
      <c r="V96" s="20">
        <v>4</v>
      </c>
      <c r="W96" s="20">
        <v>0</v>
      </c>
      <c r="X96" s="20">
        <v>3</v>
      </c>
      <c r="Y96" s="20">
        <v>11</v>
      </c>
      <c r="Z96" s="20">
        <v>4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20</v>
      </c>
      <c r="F97" s="19">
        <f>T_DOC1[[#This Row],[TOTAL_DOCENTES]]-T_DOC1[[#This Row],[DOCENTES_MONITOREADOS]]</f>
      </c>
      <c r="G97" s="20">
        <v>0</v>
      </c>
      <c r="H97" s="20">
        <v>5</v>
      </c>
      <c r="I97" s="20">
        <v>10</v>
      </c>
      <c r="J97" s="20">
        <v>5</v>
      </c>
      <c r="K97" s="20">
        <v>0</v>
      </c>
      <c r="L97" s="20">
        <v>6</v>
      </c>
      <c r="M97" s="20">
        <v>9</v>
      </c>
      <c r="N97" s="20">
        <v>5</v>
      </c>
      <c r="O97" s="20">
        <v>0</v>
      </c>
      <c r="P97" s="20">
        <v>5</v>
      </c>
      <c r="Q97" s="20">
        <v>10</v>
      </c>
      <c r="R97" s="20">
        <v>5</v>
      </c>
      <c r="S97" s="20">
        <v>0</v>
      </c>
      <c r="T97" s="20">
        <v>3</v>
      </c>
      <c r="U97" s="20">
        <v>12</v>
      </c>
      <c r="V97" s="20">
        <v>5</v>
      </c>
      <c r="W97" s="20">
        <v>0</v>
      </c>
      <c r="X97" s="20">
        <v>4</v>
      </c>
      <c r="Y97" s="20">
        <v>11</v>
      </c>
      <c r="Z97" s="20">
        <v>5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8</v>
      </c>
      <c r="F98" s="19">
        <f>T_DOC1[[#This Row],[TOTAL_DOCENTES]]-T_DOC1[[#This Row],[DOCENTES_MONITOREADOS]]</f>
      </c>
      <c r="G98" s="20">
        <v>0</v>
      </c>
      <c r="H98" s="20">
        <v>2</v>
      </c>
      <c r="I98" s="20">
        <v>4</v>
      </c>
      <c r="J98" s="20">
        <v>2</v>
      </c>
      <c r="K98" s="20">
        <v>0</v>
      </c>
      <c r="L98" s="20">
        <v>3</v>
      </c>
      <c r="M98" s="20">
        <v>3</v>
      </c>
      <c r="N98" s="20">
        <v>2</v>
      </c>
      <c r="O98" s="20">
        <v>0</v>
      </c>
      <c r="P98" s="20">
        <v>2</v>
      </c>
      <c r="Q98" s="20">
        <v>4</v>
      </c>
      <c r="R98" s="20">
        <v>2</v>
      </c>
      <c r="S98" s="20">
        <v>0</v>
      </c>
      <c r="T98" s="20">
        <v>1</v>
      </c>
      <c r="U98" s="20">
        <v>5</v>
      </c>
      <c r="V98" s="20">
        <v>2</v>
      </c>
      <c r="W98" s="20">
        <v>0</v>
      </c>
      <c r="X98" s="20">
        <v>2</v>
      </c>
      <c r="Y98" s="20">
        <v>4</v>
      </c>
      <c r="Z98" s="20">
        <v>2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18</v>
      </c>
      <c r="F99" s="19">
        <f>T_DOC1[[#This Row],[TOTAL_DOCENTES]]-T_DOC1[[#This Row],[DOCENTES_MONITOREADOS]]</f>
      </c>
      <c r="G99" s="20">
        <v>0</v>
      </c>
      <c r="H99" s="20">
        <v>4</v>
      </c>
      <c r="I99" s="20">
        <v>10</v>
      </c>
      <c r="J99" s="20">
        <v>4</v>
      </c>
      <c r="K99" s="20">
        <v>0</v>
      </c>
      <c r="L99" s="20">
        <v>5</v>
      </c>
      <c r="M99" s="20">
        <v>9</v>
      </c>
      <c r="N99" s="20">
        <v>4</v>
      </c>
      <c r="O99" s="20">
        <v>0</v>
      </c>
      <c r="P99" s="20">
        <v>4</v>
      </c>
      <c r="Q99" s="20">
        <v>10</v>
      </c>
      <c r="R99" s="20">
        <v>4</v>
      </c>
      <c r="S99" s="20">
        <v>0</v>
      </c>
      <c r="T99" s="20">
        <v>2</v>
      </c>
      <c r="U99" s="20">
        <v>12</v>
      </c>
      <c r="V99" s="20">
        <v>4</v>
      </c>
      <c r="W99" s="20">
        <v>0</v>
      </c>
      <c r="X99" s="20">
        <v>3</v>
      </c>
      <c r="Y99" s="20">
        <v>11</v>
      </c>
      <c r="Z99" s="20">
        <v>4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20</v>
      </c>
      <c r="F100" s="19">
        <f>T_DOC1[[#This Row],[TOTAL_DOCENTES]]-T_DOC1[[#This Row],[DOCENTES_MONITOREADOS]]</f>
      </c>
      <c r="G100" s="20">
        <v>0</v>
      </c>
      <c r="H100" s="20">
        <v>5</v>
      </c>
      <c r="I100" s="20">
        <v>10</v>
      </c>
      <c r="J100" s="20">
        <v>5</v>
      </c>
      <c r="K100" s="20">
        <v>0</v>
      </c>
      <c r="L100" s="20">
        <v>6</v>
      </c>
      <c r="M100" s="20">
        <v>9</v>
      </c>
      <c r="N100" s="20">
        <v>5</v>
      </c>
      <c r="O100" s="20">
        <v>0</v>
      </c>
      <c r="P100" s="20">
        <v>5</v>
      </c>
      <c r="Q100" s="20">
        <v>10</v>
      </c>
      <c r="R100" s="20">
        <v>5</v>
      </c>
      <c r="S100" s="20">
        <v>0</v>
      </c>
      <c r="T100" s="20">
        <v>3</v>
      </c>
      <c r="U100" s="20">
        <v>12</v>
      </c>
      <c r="V100" s="20">
        <v>5</v>
      </c>
      <c r="W100" s="20">
        <v>0</v>
      </c>
      <c r="X100" s="20">
        <v>4</v>
      </c>
      <c r="Y100" s="20">
        <v>11</v>
      </c>
      <c r="Z100" s="20">
        <v>5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8</v>
      </c>
      <c r="F101" s="19">
        <f>T_DOC1[[#This Row],[TOTAL_DOCENTES]]-T_DOC1[[#This Row],[DOCENTES_MONITOREADOS]]</f>
      </c>
      <c r="G101" s="20">
        <v>0</v>
      </c>
      <c r="H101" s="20">
        <v>2</v>
      </c>
      <c r="I101" s="20">
        <v>4</v>
      </c>
      <c r="J101" s="20">
        <v>2</v>
      </c>
      <c r="K101" s="20">
        <v>0</v>
      </c>
      <c r="L101" s="20">
        <v>3</v>
      </c>
      <c r="M101" s="20">
        <v>3</v>
      </c>
      <c r="N101" s="20">
        <v>2</v>
      </c>
      <c r="O101" s="20">
        <v>0</v>
      </c>
      <c r="P101" s="20">
        <v>2</v>
      </c>
      <c r="Q101" s="20">
        <v>4</v>
      </c>
      <c r="R101" s="20">
        <v>2</v>
      </c>
      <c r="S101" s="20">
        <v>0</v>
      </c>
      <c r="T101" s="20">
        <v>1</v>
      </c>
      <c r="U101" s="20">
        <v>5</v>
      </c>
      <c r="V101" s="20">
        <v>2</v>
      </c>
      <c r="W101" s="20">
        <v>0</v>
      </c>
      <c r="X101" s="20">
        <v>2</v>
      </c>
      <c r="Y101" s="20">
        <v>4</v>
      </c>
      <c r="Z101" s="20">
        <v>2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18</v>
      </c>
      <c r="F102" s="19">
        <f>T_DOC1[[#This Row],[TOTAL_DOCENTES]]-T_DOC1[[#This Row],[DOCENTES_MONITOREADOS]]</f>
      </c>
      <c r="G102" s="20">
        <v>0</v>
      </c>
      <c r="H102" s="20">
        <v>4</v>
      </c>
      <c r="I102" s="20">
        <v>10</v>
      </c>
      <c r="J102" s="20">
        <v>4</v>
      </c>
      <c r="K102" s="20">
        <v>0</v>
      </c>
      <c r="L102" s="20">
        <v>5</v>
      </c>
      <c r="M102" s="20">
        <v>9</v>
      </c>
      <c r="N102" s="20">
        <v>4</v>
      </c>
      <c r="O102" s="20">
        <v>0</v>
      </c>
      <c r="P102" s="20">
        <v>4</v>
      </c>
      <c r="Q102" s="20">
        <v>10</v>
      </c>
      <c r="R102" s="20">
        <v>4</v>
      </c>
      <c r="S102" s="20">
        <v>0</v>
      </c>
      <c r="T102" s="20">
        <v>2</v>
      </c>
      <c r="U102" s="20">
        <v>12</v>
      </c>
      <c r="V102" s="20">
        <v>4</v>
      </c>
      <c r="W102" s="20">
        <v>0</v>
      </c>
      <c r="X102" s="20">
        <v>3</v>
      </c>
      <c r="Y102" s="20">
        <v>11</v>
      </c>
      <c r="Z102" s="20">
        <v>4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20</v>
      </c>
      <c r="F103" s="19">
        <f>T_DOC1[[#This Row],[TOTAL_DOCENTES]]-T_DOC1[[#This Row],[DOCENTES_MONITOREADOS]]</f>
      </c>
      <c r="G103" s="20">
        <v>0</v>
      </c>
      <c r="H103" s="20">
        <v>5</v>
      </c>
      <c r="I103" s="20">
        <v>10</v>
      </c>
      <c r="J103" s="20">
        <v>5</v>
      </c>
      <c r="K103" s="20">
        <v>0</v>
      </c>
      <c r="L103" s="20">
        <v>6</v>
      </c>
      <c r="M103" s="20">
        <v>9</v>
      </c>
      <c r="N103" s="20">
        <v>5</v>
      </c>
      <c r="O103" s="20">
        <v>0</v>
      </c>
      <c r="P103" s="20">
        <v>5</v>
      </c>
      <c r="Q103" s="20">
        <v>10</v>
      </c>
      <c r="R103" s="20">
        <v>5</v>
      </c>
      <c r="S103" s="20">
        <v>0</v>
      </c>
      <c r="T103" s="20">
        <v>3</v>
      </c>
      <c r="U103" s="20">
        <v>12</v>
      </c>
      <c r="V103" s="20">
        <v>5</v>
      </c>
      <c r="W103" s="20">
        <v>0</v>
      </c>
      <c r="X103" s="20">
        <v>4</v>
      </c>
      <c r="Y103" s="20">
        <v>11</v>
      </c>
      <c r="Z103" s="20">
        <v>5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8</v>
      </c>
      <c r="F104" s="19">
        <f>T_DOC1[[#This Row],[TOTAL_DOCENTES]]-T_DOC1[[#This Row],[DOCENTES_MONITOREADOS]]</f>
      </c>
      <c r="G104" s="20">
        <v>0</v>
      </c>
      <c r="H104" s="20">
        <v>2</v>
      </c>
      <c r="I104" s="20">
        <v>4</v>
      </c>
      <c r="J104" s="20">
        <v>2</v>
      </c>
      <c r="K104" s="20">
        <v>0</v>
      </c>
      <c r="L104" s="20">
        <v>3</v>
      </c>
      <c r="M104" s="20">
        <v>3</v>
      </c>
      <c r="N104" s="20">
        <v>2</v>
      </c>
      <c r="O104" s="20">
        <v>0</v>
      </c>
      <c r="P104" s="20">
        <v>2</v>
      </c>
      <c r="Q104" s="20">
        <v>4</v>
      </c>
      <c r="R104" s="20">
        <v>2</v>
      </c>
      <c r="S104" s="20">
        <v>0</v>
      </c>
      <c r="T104" s="20">
        <v>1</v>
      </c>
      <c r="U104" s="20">
        <v>5</v>
      </c>
      <c r="V104" s="20">
        <v>2</v>
      </c>
      <c r="W104" s="20">
        <v>0</v>
      </c>
      <c r="X104" s="20">
        <v>2</v>
      </c>
      <c r="Y104" s="20">
        <v>4</v>
      </c>
      <c r="Z104" s="20">
        <v>2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18</v>
      </c>
      <c r="F105" s="19">
        <f>T_DOC1[[#This Row],[TOTAL_DOCENTES]]-T_DOC1[[#This Row],[DOCENTES_MONITOREADOS]]</f>
      </c>
      <c r="G105" s="20">
        <v>0</v>
      </c>
      <c r="H105" s="20">
        <v>4</v>
      </c>
      <c r="I105" s="20">
        <v>10</v>
      </c>
      <c r="J105" s="20">
        <v>4</v>
      </c>
      <c r="K105" s="20">
        <v>0</v>
      </c>
      <c r="L105" s="20">
        <v>5</v>
      </c>
      <c r="M105" s="20">
        <v>9</v>
      </c>
      <c r="N105" s="20">
        <v>4</v>
      </c>
      <c r="O105" s="20">
        <v>0</v>
      </c>
      <c r="P105" s="20">
        <v>4</v>
      </c>
      <c r="Q105" s="20">
        <v>10</v>
      </c>
      <c r="R105" s="20">
        <v>4</v>
      </c>
      <c r="S105" s="20">
        <v>0</v>
      </c>
      <c r="T105" s="20">
        <v>2</v>
      </c>
      <c r="U105" s="20">
        <v>12</v>
      </c>
      <c r="V105" s="20">
        <v>4</v>
      </c>
      <c r="W105" s="20">
        <v>0</v>
      </c>
      <c r="X105" s="20">
        <v>3</v>
      </c>
      <c r="Y105" s="20">
        <v>11</v>
      </c>
      <c r="Z105" s="20">
        <v>4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20</v>
      </c>
      <c r="F106" s="19">
        <f>T_DOC1[[#This Row],[TOTAL_DOCENTES]]-T_DOC1[[#This Row],[DOCENTES_MONITOREADOS]]</f>
      </c>
      <c r="G106" s="20">
        <v>0</v>
      </c>
      <c r="H106" s="20">
        <v>5</v>
      </c>
      <c r="I106" s="20">
        <v>10</v>
      </c>
      <c r="J106" s="20">
        <v>5</v>
      </c>
      <c r="K106" s="20">
        <v>0</v>
      </c>
      <c r="L106" s="20">
        <v>6</v>
      </c>
      <c r="M106" s="20">
        <v>9</v>
      </c>
      <c r="N106" s="20">
        <v>5</v>
      </c>
      <c r="O106" s="20">
        <v>0</v>
      </c>
      <c r="P106" s="20">
        <v>5</v>
      </c>
      <c r="Q106" s="20">
        <v>10</v>
      </c>
      <c r="R106" s="20">
        <v>5</v>
      </c>
      <c r="S106" s="20">
        <v>0</v>
      </c>
      <c r="T106" s="20">
        <v>3</v>
      </c>
      <c r="U106" s="20">
        <v>12</v>
      </c>
      <c r="V106" s="20">
        <v>5</v>
      </c>
      <c r="W106" s="20">
        <v>0</v>
      </c>
      <c r="X106" s="20">
        <v>4</v>
      </c>
      <c r="Y106" s="20">
        <v>11</v>
      </c>
      <c r="Z106" s="20">
        <v>5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316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T_DOC2[[#This Row],[TOTAL_DOCENTES]]-T_DOC2[[#This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T_DOC2[[#This Row],[TOTAL_DOCENTES]]-T_DOC2[[#This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T_DOC2[[#This Row],[TOTAL_DOCENTES]]-T_DOC2[[#This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T_DOC2[[#This Row],[TOTAL_DOCENTES]]-T_DOC2[[#This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T_DOC2[[#This Row],[TOTAL_DOCENTES]]-T_DOC2[[#This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9</v>
      </c>
      <c r="F8" s="19">
        <f>T_DOC2[[#This Row],[TOTAL_DOCENTES]]-T_DOC2[[#This Row],[DOCENTES_MONITOREADOS]]</f>
      </c>
      <c r="G8" s="20">
        <v>0</v>
      </c>
      <c r="H8" s="20">
        <v>1</v>
      </c>
      <c r="I8" s="20">
        <v>5</v>
      </c>
      <c r="J8" s="20">
        <v>3</v>
      </c>
      <c r="K8" s="20">
        <v>0</v>
      </c>
      <c r="L8" s="20">
        <v>2</v>
      </c>
      <c r="M8" s="20">
        <v>4</v>
      </c>
      <c r="N8" s="20">
        <v>3</v>
      </c>
      <c r="O8" s="20">
        <v>0</v>
      </c>
      <c r="P8" s="20">
        <v>1</v>
      </c>
      <c r="Q8" s="20">
        <v>5</v>
      </c>
      <c r="R8" s="20">
        <v>3</v>
      </c>
      <c r="S8" s="20">
        <v>0</v>
      </c>
      <c r="T8" s="20">
        <v>1</v>
      </c>
      <c r="U8" s="20">
        <v>5</v>
      </c>
      <c r="V8" s="20">
        <v>3</v>
      </c>
      <c r="W8" s="20">
        <v>0</v>
      </c>
      <c r="X8" s="20">
        <v>1</v>
      </c>
      <c r="Y8" s="20">
        <v>5</v>
      </c>
      <c r="Z8" s="20">
        <v>3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19</v>
      </c>
      <c r="F9" s="19">
        <f>T_DOC2[[#This Row],[TOTAL_DOCENTES]]-T_DOC2[[#This Row],[DOCENTES_MONITOREADOS]]</f>
      </c>
      <c r="G9" s="20">
        <v>0</v>
      </c>
      <c r="H9" s="20">
        <v>2</v>
      </c>
      <c r="I9" s="20">
        <v>12</v>
      </c>
      <c r="J9" s="20">
        <v>5</v>
      </c>
      <c r="K9" s="20">
        <v>0</v>
      </c>
      <c r="L9" s="20">
        <v>3</v>
      </c>
      <c r="M9" s="20">
        <v>11</v>
      </c>
      <c r="N9" s="20">
        <v>5</v>
      </c>
      <c r="O9" s="20">
        <v>0</v>
      </c>
      <c r="P9" s="20">
        <v>2</v>
      </c>
      <c r="Q9" s="20">
        <v>12</v>
      </c>
      <c r="R9" s="20">
        <v>5</v>
      </c>
      <c r="S9" s="20">
        <v>0</v>
      </c>
      <c r="T9" s="20">
        <v>1</v>
      </c>
      <c r="U9" s="20">
        <v>13</v>
      </c>
      <c r="V9" s="20">
        <v>5</v>
      </c>
      <c r="W9" s="20">
        <v>0</v>
      </c>
      <c r="X9" s="20">
        <v>2</v>
      </c>
      <c r="Y9" s="20">
        <v>12</v>
      </c>
      <c r="Z9" s="20">
        <v>5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22</v>
      </c>
      <c r="F10" s="19">
        <f>T_DOC2[[#This Row],[TOTAL_DOCENTES]]-T_DOC2[[#This Row],[DOCENTES_MONITOREADOS]]</f>
      </c>
      <c r="G10" s="20">
        <v>0</v>
      </c>
      <c r="H10" s="20">
        <v>3</v>
      </c>
      <c r="I10" s="20">
        <v>12</v>
      </c>
      <c r="J10" s="20">
        <v>7</v>
      </c>
      <c r="K10" s="20">
        <v>0</v>
      </c>
      <c r="L10" s="20">
        <v>4</v>
      </c>
      <c r="M10" s="20">
        <v>11</v>
      </c>
      <c r="N10" s="20">
        <v>7</v>
      </c>
      <c r="O10" s="20">
        <v>0</v>
      </c>
      <c r="P10" s="20">
        <v>3</v>
      </c>
      <c r="Q10" s="20">
        <v>12</v>
      </c>
      <c r="R10" s="20">
        <v>7</v>
      </c>
      <c r="S10" s="20">
        <v>0</v>
      </c>
      <c r="T10" s="20">
        <v>2</v>
      </c>
      <c r="U10" s="20">
        <v>13</v>
      </c>
      <c r="V10" s="20">
        <v>7</v>
      </c>
      <c r="W10" s="20">
        <v>0</v>
      </c>
      <c r="X10" s="20">
        <v>3</v>
      </c>
      <c r="Y10" s="20">
        <v>12</v>
      </c>
      <c r="Z10" s="20">
        <v>7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9</v>
      </c>
      <c r="F11" s="19">
        <f>T_DOC2[[#This Row],[TOTAL_DOCENTES]]-T_DOC2[[#This Row],[DOCENTES_MONITOREADOS]]</f>
      </c>
      <c r="G11" s="20">
        <v>0</v>
      </c>
      <c r="H11" s="20">
        <v>1</v>
      </c>
      <c r="I11" s="20">
        <v>5</v>
      </c>
      <c r="J11" s="20">
        <v>3</v>
      </c>
      <c r="K11" s="20">
        <v>0</v>
      </c>
      <c r="L11" s="20">
        <v>2</v>
      </c>
      <c r="M11" s="20">
        <v>4</v>
      </c>
      <c r="N11" s="20">
        <v>3</v>
      </c>
      <c r="O11" s="20">
        <v>0</v>
      </c>
      <c r="P11" s="20">
        <v>1</v>
      </c>
      <c r="Q11" s="20">
        <v>5</v>
      </c>
      <c r="R11" s="20">
        <v>3</v>
      </c>
      <c r="S11" s="20">
        <v>0</v>
      </c>
      <c r="T11" s="20">
        <v>1</v>
      </c>
      <c r="U11" s="20">
        <v>5</v>
      </c>
      <c r="V11" s="20">
        <v>3</v>
      </c>
      <c r="W11" s="20">
        <v>0</v>
      </c>
      <c r="X11" s="20">
        <v>1</v>
      </c>
      <c r="Y11" s="20">
        <v>5</v>
      </c>
      <c r="Z11" s="20">
        <v>3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19</v>
      </c>
      <c r="F12" s="19">
        <f>T_DOC2[[#This Row],[TOTAL_DOCENTES]]-T_DOC2[[#This Row],[DOCENTES_MONITOREADOS]]</f>
      </c>
      <c r="G12" s="20">
        <v>0</v>
      </c>
      <c r="H12" s="20">
        <v>2</v>
      </c>
      <c r="I12" s="20">
        <v>12</v>
      </c>
      <c r="J12" s="20">
        <v>5</v>
      </c>
      <c r="K12" s="20">
        <v>0</v>
      </c>
      <c r="L12" s="20">
        <v>3</v>
      </c>
      <c r="M12" s="20">
        <v>11</v>
      </c>
      <c r="N12" s="20">
        <v>5</v>
      </c>
      <c r="O12" s="20">
        <v>0</v>
      </c>
      <c r="P12" s="20">
        <v>2</v>
      </c>
      <c r="Q12" s="20">
        <v>12</v>
      </c>
      <c r="R12" s="20">
        <v>5</v>
      </c>
      <c r="S12" s="20">
        <v>0</v>
      </c>
      <c r="T12" s="20">
        <v>1</v>
      </c>
      <c r="U12" s="20">
        <v>13</v>
      </c>
      <c r="V12" s="20">
        <v>5</v>
      </c>
      <c r="W12" s="20">
        <v>0</v>
      </c>
      <c r="X12" s="20">
        <v>2</v>
      </c>
      <c r="Y12" s="20">
        <v>12</v>
      </c>
      <c r="Z12" s="20">
        <v>5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22</v>
      </c>
      <c r="F13" s="19">
        <f>T_DOC2[[#This Row],[TOTAL_DOCENTES]]-T_DOC2[[#This Row],[DOCENTES_MONITOREADOS]]</f>
      </c>
      <c r="G13" s="20">
        <v>0</v>
      </c>
      <c r="H13" s="20">
        <v>3</v>
      </c>
      <c r="I13" s="20">
        <v>12</v>
      </c>
      <c r="J13" s="20">
        <v>7</v>
      </c>
      <c r="K13" s="20">
        <v>0</v>
      </c>
      <c r="L13" s="20">
        <v>4</v>
      </c>
      <c r="M13" s="20">
        <v>11</v>
      </c>
      <c r="N13" s="20">
        <v>7</v>
      </c>
      <c r="O13" s="20">
        <v>0</v>
      </c>
      <c r="P13" s="20">
        <v>3</v>
      </c>
      <c r="Q13" s="20">
        <v>12</v>
      </c>
      <c r="R13" s="20">
        <v>7</v>
      </c>
      <c r="S13" s="20">
        <v>0</v>
      </c>
      <c r="T13" s="20">
        <v>2</v>
      </c>
      <c r="U13" s="20">
        <v>13</v>
      </c>
      <c r="V13" s="20">
        <v>7</v>
      </c>
      <c r="W13" s="20">
        <v>0</v>
      </c>
      <c r="X13" s="20">
        <v>3</v>
      </c>
      <c r="Y13" s="20">
        <v>12</v>
      </c>
      <c r="Z13" s="20">
        <v>7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9</v>
      </c>
      <c r="F14" s="19">
        <f>T_DOC2[[#This Row],[TOTAL_DOCENTES]]-T_DOC2[[#This Row],[DOCENTES_MONITOREADOS]]</f>
      </c>
      <c r="G14" s="20">
        <v>0</v>
      </c>
      <c r="H14" s="20">
        <v>1</v>
      </c>
      <c r="I14" s="20">
        <v>5</v>
      </c>
      <c r="J14" s="20">
        <v>3</v>
      </c>
      <c r="K14" s="20">
        <v>0</v>
      </c>
      <c r="L14" s="20">
        <v>2</v>
      </c>
      <c r="M14" s="20">
        <v>4</v>
      </c>
      <c r="N14" s="20">
        <v>3</v>
      </c>
      <c r="O14" s="20">
        <v>0</v>
      </c>
      <c r="P14" s="20">
        <v>1</v>
      </c>
      <c r="Q14" s="20">
        <v>5</v>
      </c>
      <c r="R14" s="20">
        <v>3</v>
      </c>
      <c r="S14" s="20">
        <v>0</v>
      </c>
      <c r="T14" s="20">
        <v>1</v>
      </c>
      <c r="U14" s="20">
        <v>5</v>
      </c>
      <c r="V14" s="20">
        <v>3</v>
      </c>
      <c r="W14" s="20">
        <v>0</v>
      </c>
      <c r="X14" s="20">
        <v>1</v>
      </c>
      <c r="Y14" s="20">
        <v>5</v>
      </c>
      <c r="Z14" s="20">
        <v>3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19</v>
      </c>
      <c r="F15" s="19">
        <f>T_DOC2[[#This Row],[TOTAL_DOCENTES]]-T_DOC2[[#This Row],[DOCENTES_MONITOREADOS]]</f>
      </c>
      <c r="G15" s="20">
        <v>0</v>
      </c>
      <c r="H15" s="20">
        <v>2</v>
      </c>
      <c r="I15" s="20">
        <v>12</v>
      </c>
      <c r="J15" s="20">
        <v>5</v>
      </c>
      <c r="K15" s="20">
        <v>0</v>
      </c>
      <c r="L15" s="20">
        <v>3</v>
      </c>
      <c r="M15" s="20">
        <v>11</v>
      </c>
      <c r="N15" s="20">
        <v>5</v>
      </c>
      <c r="O15" s="20">
        <v>0</v>
      </c>
      <c r="P15" s="20">
        <v>2</v>
      </c>
      <c r="Q15" s="20">
        <v>12</v>
      </c>
      <c r="R15" s="20">
        <v>5</v>
      </c>
      <c r="S15" s="20">
        <v>0</v>
      </c>
      <c r="T15" s="20">
        <v>1</v>
      </c>
      <c r="U15" s="20">
        <v>13</v>
      </c>
      <c r="V15" s="20">
        <v>5</v>
      </c>
      <c r="W15" s="20">
        <v>0</v>
      </c>
      <c r="X15" s="20">
        <v>2</v>
      </c>
      <c r="Y15" s="20">
        <v>12</v>
      </c>
      <c r="Z15" s="20">
        <v>5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22</v>
      </c>
      <c r="F16" s="19">
        <f>T_DOC2[[#This Row],[TOTAL_DOCENTES]]-T_DOC2[[#This Row],[DOCENTES_MONITOREADOS]]</f>
      </c>
      <c r="G16" s="20">
        <v>0</v>
      </c>
      <c r="H16" s="20">
        <v>3</v>
      </c>
      <c r="I16" s="20">
        <v>12</v>
      </c>
      <c r="J16" s="20">
        <v>7</v>
      </c>
      <c r="K16" s="20">
        <v>0</v>
      </c>
      <c r="L16" s="20">
        <v>4</v>
      </c>
      <c r="M16" s="20">
        <v>11</v>
      </c>
      <c r="N16" s="20">
        <v>7</v>
      </c>
      <c r="O16" s="20">
        <v>0</v>
      </c>
      <c r="P16" s="20">
        <v>3</v>
      </c>
      <c r="Q16" s="20">
        <v>12</v>
      </c>
      <c r="R16" s="20">
        <v>7</v>
      </c>
      <c r="S16" s="20">
        <v>0</v>
      </c>
      <c r="T16" s="20">
        <v>2</v>
      </c>
      <c r="U16" s="20">
        <v>13</v>
      </c>
      <c r="V16" s="20">
        <v>7</v>
      </c>
      <c r="W16" s="20">
        <v>0</v>
      </c>
      <c r="X16" s="20">
        <v>3</v>
      </c>
      <c r="Y16" s="20">
        <v>12</v>
      </c>
      <c r="Z16" s="20">
        <v>7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9</v>
      </c>
      <c r="F17" s="19">
        <f>T_DOC2[[#This Row],[TOTAL_DOCENTES]]-T_DOC2[[#This Row],[DOCENTES_MONITOREADOS]]</f>
      </c>
      <c r="G17" s="20">
        <v>0</v>
      </c>
      <c r="H17" s="20">
        <v>1</v>
      </c>
      <c r="I17" s="20">
        <v>5</v>
      </c>
      <c r="J17" s="20">
        <v>3</v>
      </c>
      <c r="K17" s="20">
        <v>0</v>
      </c>
      <c r="L17" s="20">
        <v>2</v>
      </c>
      <c r="M17" s="20">
        <v>4</v>
      </c>
      <c r="N17" s="20">
        <v>3</v>
      </c>
      <c r="O17" s="20">
        <v>0</v>
      </c>
      <c r="P17" s="20">
        <v>1</v>
      </c>
      <c r="Q17" s="20">
        <v>5</v>
      </c>
      <c r="R17" s="20">
        <v>3</v>
      </c>
      <c r="S17" s="20">
        <v>0</v>
      </c>
      <c r="T17" s="20">
        <v>1</v>
      </c>
      <c r="U17" s="20">
        <v>5</v>
      </c>
      <c r="V17" s="20">
        <v>3</v>
      </c>
      <c r="W17" s="20">
        <v>0</v>
      </c>
      <c r="X17" s="20">
        <v>1</v>
      </c>
      <c r="Y17" s="20">
        <v>5</v>
      </c>
      <c r="Z17" s="20">
        <v>3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19</v>
      </c>
      <c r="F18" s="19">
        <f>T_DOC2[[#This Row],[TOTAL_DOCENTES]]-T_DOC2[[#This Row],[DOCENTES_MONITOREADOS]]</f>
      </c>
      <c r="G18" s="20">
        <v>0</v>
      </c>
      <c r="H18" s="20">
        <v>2</v>
      </c>
      <c r="I18" s="20">
        <v>12</v>
      </c>
      <c r="J18" s="20">
        <v>5</v>
      </c>
      <c r="K18" s="20">
        <v>0</v>
      </c>
      <c r="L18" s="20">
        <v>3</v>
      </c>
      <c r="M18" s="20">
        <v>11</v>
      </c>
      <c r="N18" s="20">
        <v>5</v>
      </c>
      <c r="O18" s="20">
        <v>0</v>
      </c>
      <c r="P18" s="20">
        <v>2</v>
      </c>
      <c r="Q18" s="20">
        <v>12</v>
      </c>
      <c r="R18" s="20">
        <v>5</v>
      </c>
      <c r="S18" s="20">
        <v>0</v>
      </c>
      <c r="T18" s="20">
        <v>1</v>
      </c>
      <c r="U18" s="20">
        <v>13</v>
      </c>
      <c r="V18" s="20">
        <v>5</v>
      </c>
      <c r="W18" s="20">
        <v>0</v>
      </c>
      <c r="X18" s="20">
        <v>2</v>
      </c>
      <c r="Y18" s="20">
        <v>12</v>
      </c>
      <c r="Z18" s="20">
        <v>5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22</v>
      </c>
      <c r="F19" s="19">
        <f>T_DOC2[[#This Row],[TOTAL_DOCENTES]]-T_DOC2[[#This Row],[DOCENTES_MONITOREADOS]]</f>
      </c>
      <c r="G19" s="20">
        <v>0</v>
      </c>
      <c r="H19" s="20">
        <v>3</v>
      </c>
      <c r="I19" s="20">
        <v>12</v>
      </c>
      <c r="J19" s="20">
        <v>7</v>
      </c>
      <c r="K19" s="20">
        <v>0</v>
      </c>
      <c r="L19" s="20">
        <v>4</v>
      </c>
      <c r="M19" s="20">
        <v>11</v>
      </c>
      <c r="N19" s="20">
        <v>7</v>
      </c>
      <c r="O19" s="20">
        <v>0</v>
      </c>
      <c r="P19" s="20">
        <v>3</v>
      </c>
      <c r="Q19" s="20">
        <v>12</v>
      </c>
      <c r="R19" s="20">
        <v>7</v>
      </c>
      <c r="S19" s="20">
        <v>0</v>
      </c>
      <c r="T19" s="20">
        <v>2</v>
      </c>
      <c r="U19" s="20">
        <v>13</v>
      </c>
      <c r="V19" s="20">
        <v>7</v>
      </c>
      <c r="W19" s="20">
        <v>0</v>
      </c>
      <c r="X19" s="20">
        <v>3</v>
      </c>
      <c r="Y19" s="20">
        <v>12</v>
      </c>
      <c r="Z19" s="20">
        <v>7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9</v>
      </c>
      <c r="F20" s="19">
        <f>T_DOC2[[#This Row],[TOTAL_DOCENTES]]-T_DOC2[[#This Row],[DOCENTES_MONITOREADOS]]</f>
      </c>
      <c r="G20" s="20">
        <v>0</v>
      </c>
      <c r="H20" s="20">
        <v>1</v>
      </c>
      <c r="I20" s="20">
        <v>5</v>
      </c>
      <c r="J20" s="20">
        <v>3</v>
      </c>
      <c r="K20" s="20">
        <v>0</v>
      </c>
      <c r="L20" s="20">
        <v>2</v>
      </c>
      <c r="M20" s="20">
        <v>4</v>
      </c>
      <c r="N20" s="20">
        <v>3</v>
      </c>
      <c r="O20" s="20">
        <v>0</v>
      </c>
      <c r="P20" s="20">
        <v>1</v>
      </c>
      <c r="Q20" s="20">
        <v>5</v>
      </c>
      <c r="R20" s="20">
        <v>3</v>
      </c>
      <c r="S20" s="20">
        <v>0</v>
      </c>
      <c r="T20" s="20">
        <v>1</v>
      </c>
      <c r="U20" s="20">
        <v>5</v>
      </c>
      <c r="V20" s="20">
        <v>3</v>
      </c>
      <c r="W20" s="20">
        <v>0</v>
      </c>
      <c r="X20" s="20">
        <v>1</v>
      </c>
      <c r="Y20" s="20">
        <v>5</v>
      </c>
      <c r="Z20" s="20">
        <v>3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19</v>
      </c>
      <c r="F21" s="19">
        <f>T_DOC2[[#This Row],[TOTAL_DOCENTES]]-T_DOC2[[#This Row],[DOCENTES_MONITOREADOS]]</f>
      </c>
      <c r="G21" s="20">
        <v>0</v>
      </c>
      <c r="H21" s="20">
        <v>2</v>
      </c>
      <c r="I21" s="20">
        <v>12</v>
      </c>
      <c r="J21" s="20">
        <v>5</v>
      </c>
      <c r="K21" s="20">
        <v>0</v>
      </c>
      <c r="L21" s="20">
        <v>3</v>
      </c>
      <c r="M21" s="20">
        <v>11</v>
      </c>
      <c r="N21" s="20">
        <v>5</v>
      </c>
      <c r="O21" s="20">
        <v>0</v>
      </c>
      <c r="P21" s="20">
        <v>2</v>
      </c>
      <c r="Q21" s="20">
        <v>12</v>
      </c>
      <c r="R21" s="20">
        <v>5</v>
      </c>
      <c r="S21" s="20">
        <v>0</v>
      </c>
      <c r="T21" s="20">
        <v>1</v>
      </c>
      <c r="U21" s="20">
        <v>13</v>
      </c>
      <c r="V21" s="20">
        <v>5</v>
      </c>
      <c r="W21" s="20">
        <v>0</v>
      </c>
      <c r="X21" s="20">
        <v>2</v>
      </c>
      <c r="Y21" s="20">
        <v>12</v>
      </c>
      <c r="Z21" s="20">
        <v>5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22</v>
      </c>
      <c r="F22" s="19">
        <f>T_DOC2[[#This Row],[TOTAL_DOCENTES]]-T_DOC2[[#This Row],[DOCENTES_MONITOREADOS]]</f>
      </c>
      <c r="G22" s="20">
        <v>0</v>
      </c>
      <c r="H22" s="20">
        <v>3</v>
      </c>
      <c r="I22" s="20">
        <v>12</v>
      </c>
      <c r="J22" s="20">
        <v>7</v>
      </c>
      <c r="K22" s="20">
        <v>0</v>
      </c>
      <c r="L22" s="20">
        <v>4</v>
      </c>
      <c r="M22" s="20">
        <v>11</v>
      </c>
      <c r="N22" s="20">
        <v>7</v>
      </c>
      <c r="O22" s="20">
        <v>0</v>
      </c>
      <c r="P22" s="20">
        <v>3</v>
      </c>
      <c r="Q22" s="20">
        <v>12</v>
      </c>
      <c r="R22" s="20">
        <v>7</v>
      </c>
      <c r="S22" s="20">
        <v>0</v>
      </c>
      <c r="T22" s="20">
        <v>2</v>
      </c>
      <c r="U22" s="20">
        <v>13</v>
      </c>
      <c r="V22" s="20">
        <v>7</v>
      </c>
      <c r="W22" s="20">
        <v>0</v>
      </c>
      <c r="X22" s="20">
        <v>3</v>
      </c>
      <c r="Y22" s="20">
        <v>12</v>
      </c>
      <c r="Z22" s="20">
        <v>7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9</v>
      </c>
      <c r="F23" s="19">
        <f>T_DOC2[[#This Row],[TOTAL_DOCENTES]]-T_DOC2[[#This Row],[DOCENTES_MONITOREADOS]]</f>
      </c>
      <c r="G23" s="20">
        <v>0</v>
      </c>
      <c r="H23" s="20">
        <v>1</v>
      </c>
      <c r="I23" s="20">
        <v>5</v>
      </c>
      <c r="J23" s="20">
        <v>3</v>
      </c>
      <c r="K23" s="20">
        <v>0</v>
      </c>
      <c r="L23" s="20">
        <v>2</v>
      </c>
      <c r="M23" s="20">
        <v>4</v>
      </c>
      <c r="N23" s="20">
        <v>3</v>
      </c>
      <c r="O23" s="20">
        <v>0</v>
      </c>
      <c r="P23" s="20">
        <v>1</v>
      </c>
      <c r="Q23" s="20">
        <v>5</v>
      </c>
      <c r="R23" s="20">
        <v>3</v>
      </c>
      <c r="S23" s="20">
        <v>0</v>
      </c>
      <c r="T23" s="20">
        <v>1</v>
      </c>
      <c r="U23" s="20">
        <v>5</v>
      </c>
      <c r="V23" s="20">
        <v>3</v>
      </c>
      <c r="W23" s="20">
        <v>0</v>
      </c>
      <c r="X23" s="20">
        <v>1</v>
      </c>
      <c r="Y23" s="20">
        <v>5</v>
      </c>
      <c r="Z23" s="20">
        <v>3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19</v>
      </c>
      <c r="F24" s="19">
        <f>T_DOC2[[#This Row],[TOTAL_DOCENTES]]-T_DOC2[[#This Row],[DOCENTES_MONITOREADOS]]</f>
      </c>
      <c r="G24" s="20">
        <v>0</v>
      </c>
      <c r="H24" s="20">
        <v>2</v>
      </c>
      <c r="I24" s="20">
        <v>12</v>
      </c>
      <c r="J24" s="20">
        <v>5</v>
      </c>
      <c r="K24" s="20">
        <v>0</v>
      </c>
      <c r="L24" s="20">
        <v>3</v>
      </c>
      <c r="M24" s="20">
        <v>11</v>
      </c>
      <c r="N24" s="20">
        <v>5</v>
      </c>
      <c r="O24" s="20">
        <v>0</v>
      </c>
      <c r="P24" s="20">
        <v>2</v>
      </c>
      <c r="Q24" s="20">
        <v>12</v>
      </c>
      <c r="R24" s="20">
        <v>5</v>
      </c>
      <c r="S24" s="20">
        <v>0</v>
      </c>
      <c r="T24" s="20">
        <v>1</v>
      </c>
      <c r="U24" s="20">
        <v>13</v>
      </c>
      <c r="V24" s="20">
        <v>5</v>
      </c>
      <c r="W24" s="20">
        <v>0</v>
      </c>
      <c r="X24" s="20">
        <v>2</v>
      </c>
      <c r="Y24" s="20">
        <v>12</v>
      </c>
      <c r="Z24" s="20">
        <v>5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22</v>
      </c>
      <c r="F25" s="19">
        <f>T_DOC2[[#This Row],[TOTAL_DOCENTES]]-T_DOC2[[#This Row],[DOCENTES_MONITOREADOS]]</f>
      </c>
      <c r="G25" s="20">
        <v>0</v>
      </c>
      <c r="H25" s="20">
        <v>3</v>
      </c>
      <c r="I25" s="20">
        <v>12</v>
      </c>
      <c r="J25" s="20">
        <v>7</v>
      </c>
      <c r="K25" s="20">
        <v>0</v>
      </c>
      <c r="L25" s="20">
        <v>4</v>
      </c>
      <c r="M25" s="20">
        <v>11</v>
      </c>
      <c r="N25" s="20">
        <v>7</v>
      </c>
      <c r="O25" s="20">
        <v>0</v>
      </c>
      <c r="P25" s="20">
        <v>3</v>
      </c>
      <c r="Q25" s="20">
        <v>12</v>
      </c>
      <c r="R25" s="20">
        <v>7</v>
      </c>
      <c r="S25" s="20">
        <v>0</v>
      </c>
      <c r="T25" s="20">
        <v>2</v>
      </c>
      <c r="U25" s="20">
        <v>13</v>
      </c>
      <c r="V25" s="20">
        <v>7</v>
      </c>
      <c r="W25" s="20">
        <v>0</v>
      </c>
      <c r="X25" s="20">
        <v>3</v>
      </c>
      <c r="Y25" s="20">
        <v>12</v>
      </c>
      <c r="Z25" s="20">
        <v>7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9</v>
      </c>
      <c r="F26" s="19">
        <f>T_DOC2[[#This Row],[TOTAL_DOCENTES]]-T_DOC2[[#This Row],[DOCENTES_MONITOREADOS]]</f>
      </c>
      <c r="G26" s="20">
        <v>0</v>
      </c>
      <c r="H26" s="20">
        <v>1</v>
      </c>
      <c r="I26" s="20">
        <v>5</v>
      </c>
      <c r="J26" s="20">
        <v>3</v>
      </c>
      <c r="K26" s="20">
        <v>0</v>
      </c>
      <c r="L26" s="20">
        <v>2</v>
      </c>
      <c r="M26" s="20">
        <v>4</v>
      </c>
      <c r="N26" s="20">
        <v>3</v>
      </c>
      <c r="O26" s="20">
        <v>0</v>
      </c>
      <c r="P26" s="20">
        <v>1</v>
      </c>
      <c r="Q26" s="20">
        <v>5</v>
      </c>
      <c r="R26" s="20">
        <v>3</v>
      </c>
      <c r="S26" s="20">
        <v>0</v>
      </c>
      <c r="T26" s="20">
        <v>1</v>
      </c>
      <c r="U26" s="20">
        <v>5</v>
      </c>
      <c r="V26" s="20">
        <v>3</v>
      </c>
      <c r="W26" s="20">
        <v>0</v>
      </c>
      <c r="X26" s="20">
        <v>1</v>
      </c>
      <c r="Y26" s="20">
        <v>5</v>
      </c>
      <c r="Z26" s="20">
        <v>3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19</v>
      </c>
      <c r="F27" s="19">
        <f>T_DOC2[[#This Row],[TOTAL_DOCENTES]]-T_DOC2[[#This Row],[DOCENTES_MONITOREADOS]]</f>
      </c>
      <c r="G27" s="20">
        <v>0</v>
      </c>
      <c r="H27" s="20">
        <v>2</v>
      </c>
      <c r="I27" s="20">
        <v>12</v>
      </c>
      <c r="J27" s="20">
        <v>5</v>
      </c>
      <c r="K27" s="20">
        <v>0</v>
      </c>
      <c r="L27" s="20">
        <v>3</v>
      </c>
      <c r="M27" s="20">
        <v>11</v>
      </c>
      <c r="N27" s="20">
        <v>5</v>
      </c>
      <c r="O27" s="20">
        <v>0</v>
      </c>
      <c r="P27" s="20">
        <v>2</v>
      </c>
      <c r="Q27" s="20">
        <v>12</v>
      </c>
      <c r="R27" s="20">
        <v>5</v>
      </c>
      <c r="S27" s="20">
        <v>0</v>
      </c>
      <c r="T27" s="20">
        <v>1</v>
      </c>
      <c r="U27" s="20">
        <v>13</v>
      </c>
      <c r="V27" s="20">
        <v>5</v>
      </c>
      <c r="W27" s="20">
        <v>0</v>
      </c>
      <c r="X27" s="20">
        <v>2</v>
      </c>
      <c r="Y27" s="20">
        <v>12</v>
      </c>
      <c r="Z27" s="20">
        <v>5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22</v>
      </c>
      <c r="F28" s="19">
        <f>T_DOC2[[#This Row],[TOTAL_DOCENTES]]-T_DOC2[[#This Row],[DOCENTES_MONITOREADOS]]</f>
      </c>
      <c r="G28" s="20">
        <v>0</v>
      </c>
      <c r="H28" s="20">
        <v>3</v>
      </c>
      <c r="I28" s="20">
        <v>12</v>
      </c>
      <c r="J28" s="20">
        <v>7</v>
      </c>
      <c r="K28" s="20">
        <v>0</v>
      </c>
      <c r="L28" s="20">
        <v>4</v>
      </c>
      <c r="M28" s="20">
        <v>11</v>
      </c>
      <c r="N28" s="20">
        <v>7</v>
      </c>
      <c r="O28" s="20">
        <v>0</v>
      </c>
      <c r="P28" s="20">
        <v>3</v>
      </c>
      <c r="Q28" s="20">
        <v>12</v>
      </c>
      <c r="R28" s="20">
        <v>7</v>
      </c>
      <c r="S28" s="20">
        <v>0</v>
      </c>
      <c r="T28" s="20">
        <v>2</v>
      </c>
      <c r="U28" s="20">
        <v>13</v>
      </c>
      <c r="V28" s="20">
        <v>7</v>
      </c>
      <c r="W28" s="20">
        <v>0</v>
      </c>
      <c r="X28" s="20">
        <v>3</v>
      </c>
      <c r="Y28" s="20">
        <v>12</v>
      </c>
      <c r="Z28" s="20">
        <v>7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9</v>
      </c>
      <c r="F29" s="19">
        <f>T_DOC2[[#This Row],[TOTAL_DOCENTES]]-T_DOC2[[#This Row],[DOCENTES_MONITOREADOS]]</f>
      </c>
      <c r="G29" s="20">
        <v>0</v>
      </c>
      <c r="H29" s="20">
        <v>1</v>
      </c>
      <c r="I29" s="20">
        <v>5</v>
      </c>
      <c r="J29" s="20">
        <v>3</v>
      </c>
      <c r="K29" s="20">
        <v>0</v>
      </c>
      <c r="L29" s="20">
        <v>2</v>
      </c>
      <c r="M29" s="20">
        <v>4</v>
      </c>
      <c r="N29" s="20">
        <v>3</v>
      </c>
      <c r="O29" s="20">
        <v>0</v>
      </c>
      <c r="P29" s="20">
        <v>1</v>
      </c>
      <c r="Q29" s="20">
        <v>5</v>
      </c>
      <c r="R29" s="20">
        <v>3</v>
      </c>
      <c r="S29" s="20">
        <v>0</v>
      </c>
      <c r="T29" s="20">
        <v>1</v>
      </c>
      <c r="U29" s="20">
        <v>5</v>
      </c>
      <c r="V29" s="20">
        <v>3</v>
      </c>
      <c r="W29" s="20">
        <v>0</v>
      </c>
      <c r="X29" s="20">
        <v>1</v>
      </c>
      <c r="Y29" s="20">
        <v>5</v>
      </c>
      <c r="Z29" s="20">
        <v>3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19</v>
      </c>
      <c r="F30" s="19">
        <f>T_DOC2[[#This Row],[TOTAL_DOCENTES]]-T_DOC2[[#This Row],[DOCENTES_MONITOREADOS]]</f>
      </c>
      <c r="G30" s="20">
        <v>0</v>
      </c>
      <c r="H30" s="20">
        <v>2</v>
      </c>
      <c r="I30" s="20">
        <v>12</v>
      </c>
      <c r="J30" s="20">
        <v>5</v>
      </c>
      <c r="K30" s="20">
        <v>0</v>
      </c>
      <c r="L30" s="20">
        <v>3</v>
      </c>
      <c r="M30" s="20">
        <v>11</v>
      </c>
      <c r="N30" s="20">
        <v>5</v>
      </c>
      <c r="O30" s="20">
        <v>0</v>
      </c>
      <c r="P30" s="20">
        <v>2</v>
      </c>
      <c r="Q30" s="20">
        <v>12</v>
      </c>
      <c r="R30" s="20">
        <v>5</v>
      </c>
      <c r="S30" s="20">
        <v>0</v>
      </c>
      <c r="T30" s="20">
        <v>1</v>
      </c>
      <c r="U30" s="20">
        <v>13</v>
      </c>
      <c r="V30" s="20">
        <v>5</v>
      </c>
      <c r="W30" s="20">
        <v>0</v>
      </c>
      <c r="X30" s="20">
        <v>2</v>
      </c>
      <c r="Y30" s="20">
        <v>12</v>
      </c>
      <c r="Z30" s="20">
        <v>5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22</v>
      </c>
      <c r="F31" s="19">
        <f>T_DOC2[[#This Row],[TOTAL_DOCENTES]]-T_DOC2[[#This Row],[DOCENTES_MONITOREADOS]]</f>
      </c>
      <c r="G31" s="20">
        <v>0</v>
      </c>
      <c r="H31" s="20">
        <v>3</v>
      </c>
      <c r="I31" s="20">
        <v>12</v>
      </c>
      <c r="J31" s="20">
        <v>7</v>
      </c>
      <c r="K31" s="20">
        <v>0</v>
      </c>
      <c r="L31" s="20">
        <v>4</v>
      </c>
      <c r="M31" s="20">
        <v>11</v>
      </c>
      <c r="N31" s="20">
        <v>7</v>
      </c>
      <c r="O31" s="20">
        <v>0</v>
      </c>
      <c r="P31" s="20">
        <v>3</v>
      </c>
      <c r="Q31" s="20">
        <v>12</v>
      </c>
      <c r="R31" s="20">
        <v>7</v>
      </c>
      <c r="S31" s="20">
        <v>0</v>
      </c>
      <c r="T31" s="20">
        <v>2</v>
      </c>
      <c r="U31" s="20">
        <v>13</v>
      </c>
      <c r="V31" s="20">
        <v>7</v>
      </c>
      <c r="W31" s="20">
        <v>0</v>
      </c>
      <c r="X31" s="20">
        <v>3</v>
      </c>
      <c r="Y31" s="20">
        <v>12</v>
      </c>
      <c r="Z31" s="20">
        <v>7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9</v>
      </c>
      <c r="F32" s="19">
        <f>T_DOC2[[#This Row],[TOTAL_DOCENTES]]-T_DOC2[[#This Row],[DOCENTES_MONITOREADOS]]</f>
      </c>
      <c r="G32" s="20">
        <v>0</v>
      </c>
      <c r="H32" s="20">
        <v>1</v>
      </c>
      <c r="I32" s="20">
        <v>5</v>
      </c>
      <c r="J32" s="20">
        <v>3</v>
      </c>
      <c r="K32" s="20">
        <v>0</v>
      </c>
      <c r="L32" s="20">
        <v>2</v>
      </c>
      <c r="M32" s="20">
        <v>4</v>
      </c>
      <c r="N32" s="20">
        <v>3</v>
      </c>
      <c r="O32" s="20">
        <v>0</v>
      </c>
      <c r="P32" s="20">
        <v>1</v>
      </c>
      <c r="Q32" s="20">
        <v>5</v>
      </c>
      <c r="R32" s="20">
        <v>3</v>
      </c>
      <c r="S32" s="20">
        <v>0</v>
      </c>
      <c r="T32" s="20">
        <v>1</v>
      </c>
      <c r="U32" s="20">
        <v>5</v>
      </c>
      <c r="V32" s="20">
        <v>3</v>
      </c>
      <c r="W32" s="20">
        <v>0</v>
      </c>
      <c r="X32" s="20">
        <v>1</v>
      </c>
      <c r="Y32" s="20">
        <v>5</v>
      </c>
      <c r="Z32" s="20">
        <v>3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19</v>
      </c>
      <c r="F33" s="19">
        <f>T_DOC2[[#This Row],[TOTAL_DOCENTES]]-T_DOC2[[#This Row],[DOCENTES_MONITOREADOS]]</f>
      </c>
      <c r="G33" s="20">
        <v>0</v>
      </c>
      <c r="H33" s="20">
        <v>2</v>
      </c>
      <c r="I33" s="20">
        <v>12</v>
      </c>
      <c r="J33" s="20">
        <v>5</v>
      </c>
      <c r="K33" s="20">
        <v>0</v>
      </c>
      <c r="L33" s="20">
        <v>3</v>
      </c>
      <c r="M33" s="20">
        <v>11</v>
      </c>
      <c r="N33" s="20">
        <v>5</v>
      </c>
      <c r="O33" s="20">
        <v>0</v>
      </c>
      <c r="P33" s="20">
        <v>2</v>
      </c>
      <c r="Q33" s="20">
        <v>12</v>
      </c>
      <c r="R33" s="20">
        <v>5</v>
      </c>
      <c r="S33" s="20">
        <v>0</v>
      </c>
      <c r="T33" s="20">
        <v>1</v>
      </c>
      <c r="U33" s="20">
        <v>13</v>
      </c>
      <c r="V33" s="20">
        <v>5</v>
      </c>
      <c r="W33" s="20">
        <v>0</v>
      </c>
      <c r="X33" s="20">
        <v>2</v>
      </c>
      <c r="Y33" s="20">
        <v>12</v>
      </c>
      <c r="Z33" s="20">
        <v>5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22</v>
      </c>
      <c r="F34" s="19">
        <f>T_DOC2[[#This Row],[TOTAL_DOCENTES]]-T_DOC2[[#This Row],[DOCENTES_MONITOREADOS]]</f>
      </c>
      <c r="G34" s="20">
        <v>0</v>
      </c>
      <c r="H34" s="20">
        <v>3</v>
      </c>
      <c r="I34" s="20">
        <v>12</v>
      </c>
      <c r="J34" s="20">
        <v>7</v>
      </c>
      <c r="K34" s="20">
        <v>0</v>
      </c>
      <c r="L34" s="20">
        <v>4</v>
      </c>
      <c r="M34" s="20">
        <v>11</v>
      </c>
      <c r="N34" s="20">
        <v>7</v>
      </c>
      <c r="O34" s="20">
        <v>0</v>
      </c>
      <c r="P34" s="20">
        <v>3</v>
      </c>
      <c r="Q34" s="20">
        <v>12</v>
      </c>
      <c r="R34" s="20">
        <v>7</v>
      </c>
      <c r="S34" s="20">
        <v>0</v>
      </c>
      <c r="T34" s="20">
        <v>2</v>
      </c>
      <c r="U34" s="20">
        <v>13</v>
      </c>
      <c r="V34" s="20">
        <v>7</v>
      </c>
      <c r="W34" s="20">
        <v>0</v>
      </c>
      <c r="X34" s="20">
        <v>3</v>
      </c>
      <c r="Y34" s="20">
        <v>12</v>
      </c>
      <c r="Z34" s="20">
        <v>7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9</v>
      </c>
      <c r="F35" s="19">
        <f>T_DOC2[[#This Row],[TOTAL_DOCENTES]]-T_DOC2[[#This Row],[DOCENTES_MONITOREADOS]]</f>
      </c>
      <c r="G35" s="20">
        <v>0</v>
      </c>
      <c r="H35" s="20">
        <v>1</v>
      </c>
      <c r="I35" s="20">
        <v>5</v>
      </c>
      <c r="J35" s="20">
        <v>3</v>
      </c>
      <c r="K35" s="20">
        <v>0</v>
      </c>
      <c r="L35" s="20">
        <v>2</v>
      </c>
      <c r="M35" s="20">
        <v>4</v>
      </c>
      <c r="N35" s="20">
        <v>3</v>
      </c>
      <c r="O35" s="20">
        <v>0</v>
      </c>
      <c r="P35" s="20">
        <v>1</v>
      </c>
      <c r="Q35" s="20">
        <v>5</v>
      </c>
      <c r="R35" s="20">
        <v>3</v>
      </c>
      <c r="S35" s="20">
        <v>0</v>
      </c>
      <c r="T35" s="20">
        <v>1</v>
      </c>
      <c r="U35" s="20">
        <v>5</v>
      </c>
      <c r="V35" s="20">
        <v>3</v>
      </c>
      <c r="W35" s="20">
        <v>0</v>
      </c>
      <c r="X35" s="20">
        <v>1</v>
      </c>
      <c r="Y35" s="20">
        <v>5</v>
      </c>
      <c r="Z35" s="20">
        <v>3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19</v>
      </c>
      <c r="F36" s="19">
        <f>T_DOC2[[#This Row],[TOTAL_DOCENTES]]-T_DOC2[[#This Row],[DOCENTES_MONITOREADOS]]</f>
      </c>
      <c r="G36" s="20">
        <v>0</v>
      </c>
      <c r="H36" s="20">
        <v>2</v>
      </c>
      <c r="I36" s="20">
        <v>12</v>
      </c>
      <c r="J36" s="20">
        <v>5</v>
      </c>
      <c r="K36" s="20">
        <v>0</v>
      </c>
      <c r="L36" s="20">
        <v>3</v>
      </c>
      <c r="M36" s="20">
        <v>11</v>
      </c>
      <c r="N36" s="20">
        <v>5</v>
      </c>
      <c r="O36" s="20">
        <v>0</v>
      </c>
      <c r="P36" s="20">
        <v>2</v>
      </c>
      <c r="Q36" s="20">
        <v>12</v>
      </c>
      <c r="R36" s="20">
        <v>5</v>
      </c>
      <c r="S36" s="20">
        <v>0</v>
      </c>
      <c r="T36" s="20">
        <v>1</v>
      </c>
      <c r="U36" s="20">
        <v>13</v>
      </c>
      <c r="V36" s="20">
        <v>5</v>
      </c>
      <c r="W36" s="20">
        <v>0</v>
      </c>
      <c r="X36" s="20">
        <v>2</v>
      </c>
      <c r="Y36" s="20">
        <v>12</v>
      </c>
      <c r="Z36" s="20">
        <v>5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22</v>
      </c>
      <c r="F37" s="19">
        <f>T_DOC2[[#This Row],[TOTAL_DOCENTES]]-T_DOC2[[#This Row],[DOCENTES_MONITOREADOS]]</f>
      </c>
      <c r="G37" s="20">
        <v>0</v>
      </c>
      <c r="H37" s="20">
        <v>3</v>
      </c>
      <c r="I37" s="20">
        <v>12</v>
      </c>
      <c r="J37" s="20">
        <v>7</v>
      </c>
      <c r="K37" s="20">
        <v>0</v>
      </c>
      <c r="L37" s="20">
        <v>4</v>
      </c>
      <c r="M37" s="20">
        <v>11</v>
      </c>
      <c r="N37" s="20">
        <v>7</v>
      </c>
      <c r="O37" s="20">
        <v>0</v>
      </c>
      <c r="P37" s="20">
        <v>3</v>
      </c>
      <c r="Q37" s="20">
        <v>12</v>
      </c>
      <c r="R37" s="20">
        <v>7</v>
      </c>
      <c r="S37" s="20">
        <v>0</v>
      </c>
      <c r="T37" s="20">
        <v>2</v>
      </c>
      <c r="U37" s="20">
        <v>13</v>
      </c>
      <c r="V37" s="20">
        <v>7</v>
      </c>
      <c r="W37" s="20">
        <v>0</v>
      </c>
      <c r="X37" s="20">
        <v>3</v>
      </c>
      <c r="Y37" s="20">
        <v>12</v>
      </c>
      <c r="Z37" s="20">
        <v>7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9</v>
      </c>
      <c r="F38" s="19">
        <f>T_DOC2[[#This Row],[TOTAL_DOCENTES]]-T_DOC2[[#This Row],[DOCENTES_MONITOREADOS]]</f>
      </c>
      <c r="G38" s="20">
        <v>0</v>
      </c>
      <c r="H38" s="20">
        <v>1</v>
      </c>
      <c r="I38" s="20">
        <v>5</v>
      </c>
      <c r="J38" s="20">
        <v>3</v>
      </c>
      <c r="K38" s="20">
        <v>0</v>
      </c>
      <c r="L38" s="20">
        <v>2</v>
      </c>
      <c r="M38" s="20">
        <v>4</v>
      </c>
      <c r="N38" s="20">
        <v>3</v>
      </c>
      <c r="O38" s="20">
        <v>0</v>
      </c>
      <c r="P38" s="20">
        <v>1</v>
      </c>
      <c r="Q38" s="20">
        <v>5</v>
      </c>
      <c r="R38" s="20">
        <v>3</v>
      </c>
      <c r="S38" s="20">
        <v>0</v>
      </c>
      <c r="T38" s="20">
        <v>1</v>
      </c>
      <c r="U38" s="20">
        <v>5</v>
      </c>
      <c r="V38" s="20">
        <v>3</v>
      </c>
      <c r="W38" s="20">
        <v>0</v>
      </c>
      <c r="X38" s="20">
        <v>1</v>
      </c>
      <c r="Y38" s="20">
        <v>5</v>
      </c>
      <c r="Z38" s="20">
        <v>3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19</v>
      </c>
      <c r="F39" s="19">
        <f>T_DOC2[[#This Row],[TOTAL_DOCENTES]]-T_DOC2[[#This Row],[DOCENTES_MONITOREADOS]]</f>
      </c>
      <c r="G39" s="20">
        <v>0</v>
      </c>
      <c r="H39" s="20">
        <v>2</v>
      </c>
      <c r="I39" s="20">
        <v>12</v>
      </c>
      <c r="J39" s="20">
        <v>5</v>
      </c>
      <c r="K39" s="20">
        <v>0</v>
      </c>
      <c r="L39" s="20">
        <v>3</v>
      </c>
      <c r="M39" s="20">
        <v>11</v>
      </c>
      <c r="N39" s="20">
        <v>5</v>
      </c>
      <c r="O39" s="20">
        <v>0</v>
      </c>
      <c r="P39" s="20">
        <v>2</v>
      </c>
      <c r="Q39" s="20">
        <v>12</v>
      </c>
      <c r="R39" s="20">
        <v>5</v>
      </c>
      <c r="S39" s="20">
        <v>0</v>
      </c>
      <c r="T39" s="20">
        <v>1</v>
      </c>
      <c r="U39" s="20">
        <v>13</v>
      </c>
      <c r="V39" s="20">
        <v>5</v>
      </c>
      <c r="W39" s="20">
        <v>0</v>
      </c>
      <c r="X39" s="20">
        <v>2</v>
      </c>
      <c r="Y39" s="20">
        <v>12</v>
      </c>
      <c r="Z39" s="20">
        <v>5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22</v>
      </c>
      <c r="F40" s="19">
        <f>T_DOC2[[#This Row],[TOTAL_DOCENTES]]-T_DOC2[[#This Row],[DOCENTES_MONITOREADOS]]</f>
      </c>
      <c r="G40" s="20">
        <v>0</v>
      </c>
      <c r="H40" s="20">
        <v>3</v>
      </c>
      <c r="I40" s="20">
        <v>12</v>
      </c>
      <c r="J40" s="20">
        <v>7</v>
      </c>
      <c r="K40" s="20">
        <v>0</v>
      </c>
      <c r="L40" s="20">
        <v>4</v>
      </c>
      <c r="M40" s="20">
        <v>11</v>
      </c>
      <c r="N40" s="20">
        <v>7</v>
      </c>
      <c r="O40" s="20">
        <v>0</v>
      </c>
      <c r="P40" s="20">
        <v>3</v>
      </c>
      <c r="Q40" s="20">
        <v>12</v>
      </c>
      <c r="R40" s="20">
        <v>7</v>
      </c>
      <c r="S40" s="20">
        <v>0</v>
      </c>
      <c r="T40" s="20">
        <v>2</v>
      </c>
      <c r="U40" s="20">
        <v>13</v>
      </c>
      <c r="V40" s="20">
        <v>7</v>
      </c>
      <c r="W40" s="20">
        <v>0</v>
      </c>
      <c r="X40" s="20">
        <v>3</v>
      </c>
      <c r="Y40" s="20">
        <v>12</v>
      </c>
      <c r="Z40" s="20">
        <v>7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9</v>
      </c>
      <c r="F41" s="19">
        <f>T_DOC2[[#This Row],[TOTAL_DOCENTES]]-T_DOC2[[#This Row],[DOCENTES_MONITOREADOS]]</f>
      </c>
      <c r="G41" s="20">
        <v>0</v>
      </c>
      <c r="H41" s="20">
        <v>1</v>
      </c>
      <c r="I41" s="20">
        <v>5</v>
      </c>
      <c r="J41" s="20">
        <v>3</v>
      </c>
      <c r="K41" s="20">
        <v>0</v>
      </c>
      <c r="L41" s="20">
        <v>2</v>
      </c>
      <c r="M41" s="20">
        <v>4</v>
      </c>
      <c r="N41" s="20">
        <v>3</v>
      </c>
      <c r="O41" s="20">
        <v>0</v>
      </c>
      <c r="P41" s="20">
        <v>1</v>
      </c>
      <c r="Q41" s="20">
        <v>5</v>
      </c>
      <c r="R41" s="20">
        <v>3</v>
      </c>
      <c r="S41" s="20">
        <v>0</v>
      </c>
      <c r="T41" s="20">
        <v>1</v>
      </c>
      <c r="U41" s="20">
        <v>5</v>
      </c>
      <c r="V41" s="20">
        <v>3</v>
      </c>
      <c r="W41" s="20">
        <v>0</v>
      </c>
      <c r="X41" s="20">
        <v>1</v>
      </c>
      <c r="Y41" s="20">
        <v>5</v>
      </c>
      <c r="Z41" s="20">
        <v>3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19</v>
      </c>
      <c r="F42" s="19">
        <f>T_DOC2[[#This Row],[TOTAL_DOCENTES]]-T_DOC2[[#This Row],[DOCENTES_MONITOREADOS]]</f>
      </c>
      <c r="G42" s="20">
        <v>0</v>
      </c>
      <c r="H42" s="20">
        <v>2</v>
      </c>
      <c r="I42" s="20">
        <v>12</v>
      </c>
      <c r="J42" s="20">
        <v>5</v>
      </c>
      <c r="K42" s="20">
        <v>0</v>
      </c>
      <c r="L42" s="20">
        <v>3</v>
      </c>
      <c r="M42" s="20">
        <v>11</v>
      </c>
      <c r="N42" s="20">
        <v>5</v>
      </c>
      <c r="O42" s="20">
        <v>0</v>
      </c>
      <c r="P42" s="20">
        <v>2</v>
      </c>
      <c r="Q42" s="20">
        <v>12</v>
      </c>
      <c r="R42" s="20">
        <v>5</v>
      </c>
      <c r="S42" s="20">
        <v>0</v>
      </c>
      <c r="T42" s="20">
        <v>1</v>
      </c>
      <c r="U42" s="20">
        <v>13</v>
      </c>
      <c r="V42" s="20">
        <v>5</v>
      </c>
      <c r="W42" s="20">
        <v>0</v>
      </c>
      <c r="X42" s="20">
        <v>2</v>
      </c>
      <c r="Y42" s="20">
        <v>12</v>
      </c>
      <c r="Z42" s="20">
        <v>5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22</v>
      </c>
      <c r="F43" s="19">
        <f>T_DOC2[[#This Row],[TOTAL_DOCENTES]]-T_DOC2[[#This Row],[DOCENTES_MONITOREADOS]]</f>
      </c>
      <c r="G43" s="20">
        <v>0</v>
      </c>
      <c r="H43" s="20">
        <v>3</v>
      </c>
      <c r="I43" s="20">
        <v>12</v>
      </c>
      <c r="J43" s="20">
        <v>7</v>
      </c>
      <c r="K43" s="20">
        <v>0</v>
      </c>
      <c r="L43" s="20">
        <v>4</v>
      </c>
      <c r="M43" s="20">
        <v>11</v>
      </c>
      <c r="N43" s="20">
        <v>7</v>
      </c>
      <c r="O43" s="20">
        <v>0</v>
      </c>
      <c r="P43" s="20">
        <v>3</v>
      </c>
      <c r="Q43" s="20">
        <v>12</v>
      </c>
      <c r="R43" s="20">
        <v>7</v>
      </c>
      <c r="S43" s="20">
        <v>0</v>
      </c>
      <c r="T43" s="20">
        <v>2</v>
      </c>
      <c r="U43" s="20">
        <v>13</v>
      </c>
      <c r="V43" s="20">
        <v>7</v>
      </c>
      <c r="W43" s="20">
        <v>0</v>
      </c>
      <c r="X43" s="20">
        <v>3</v>
      </c>
      <c r="Y43" s="20">
        <v>12</v>
      </c>
      <c r="Z43" s="20">
        <v>7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9</v>
      </c>
      <c r="F44" s="19">
        <f>T_DOC2[[#This Row],[TOTAL_DOCENTES]]-T_DOC2[[#This Row],[DOCENTES_MONITOREADOS]]</f>
      </c>
      <c r="G44" s="20">
        <v>0</v>
      </c>
      <c r="H44" s="20">
        <v>1</v>
      </c>
      <c r="I44" s="20">
        <v>5</v>
      </c>
      <c r="J44" s="20">
        <v>3</v>
      </c>
      <c r="K44" s="20">
        <v>0</v>
      </c>
      <c r="L44" s="20">
        <v>2</v>
      </c>
      <c r="M44" s="20">
        <v>4</v>
      </c>
      <c r="N44" s="20">
        <v>3</v>
      </c>
      <c r="O44" s="20">
        <v>0</v>
      </c>
      <c r="P44" s="20">
        <v>1</v>
      </c>
      <c r="Q44" s="20">
        <v>5</v>
      </c>
      <c r="R44" s="20">
        <v>3</v>
      </c>
      <c r="S44" s="20">
        <v>0</v>
      </c>
      <c r="T44" s="20">
        <v>1</v>
      </c>
      <c r="U44" s="20">
        <v>5</v>
      </c>
      <c r="V44" s="20">
        <v>3</v>
      </c>
      <c r="W44" s="20">
        <v>0</v>
      </c>
      <c r="X44" s="20">
        <v>1</v>
      </c>
      <c r="Y44" s="20">
        <v>5</v>
      </c>
      <c r="Z44" s="20">
        <v>3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19</v>
      </c>
      <c r="F45" s="19">
        <f>T_DOC2[[#This Row],[TOTAL_DOCENTES]]-T_DOC2[[#This Row],[DOCENTES_MONITOREADOS]]</f>
      </c>
      <c r="G45" s="20">
        <v>0</v>
      </c>
      <c r="H45" s="20">
        <v>2</v>
      </c>
      <c r="I45" s="20">
        <v>12</v>
      </c>
      <c r="J45" s="20">
        <v>5</v>
      </c>
      <c r="K45" s="20">
        <v>0</v>
      </c>
      <c r="L45" s="20">
        <v>3</v>
      </c>
      <c r="M45" s="20">
        <v>11</v>
      </c>
      <c r="N45" s="20">
        <v>5</v>
      </c>
      <c r="O45" s="20">
        <v>0</v>
      </c>
      <c r="P45" s="20">
        <v>2</v>
      </c>
      <c r="Q45" s="20">
        <v>12</v>
      </c>
      <c r="R45" s="20">
        <v>5</v>
      </c>
      <c r="S45" s="20">
        <v>0</v>
      </c>
      <c r="T45" s="20">
        <v>1</v>
      </c>
      <c r="U45" s="20">
        <v>13</v>
      </c>
      <c r="V45" s="20">
        <v>5</v>
      </c>
      <c r="W45" s="20">
        <v>0</v>
      </c>
      <c r="X45" s="20">
        <v>2</v>
      </c>
      <c r="Y45" s="20">
        <v>12</v>
      </c>
      <c r="Z45" s="20">
        <v>5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22</v>
      </c>
      <c r="F46" s="19">
        <f>T_DOC2[[#This Row],[TOTAL_DOCENTES]]-T_DOC2[[#This Row],[DOCENTES_MONITOREADOS]]</f>
      </c>
      <c r="G46" s="20">
        <v>0</v>
      </c>
      <c r="H46" s="20">
        <v>3</v>
      </c>
      <c r="I46" s="20">
        <v>12</v>
      </c>
      <c r="J46" s="20">
        <v>7</v>
      </c>
      <c r="K46" s="20">
        <v>0</v>
      </c>
      <c r="L46" s="20">
        <v>4</v>
      </c>
      <c r="M46" s="20">
        <v>11</v>
      </c>
      <c r="N46" s="20">
        <v>7</v>
      </c>
      <c r="O46" s="20">
        <v>0</v>
      </c>
      <c r="P46" s="20">
        <v>3</v>
      </c>
      <c r="Q46" s="20">
        <v>12</v>
      </c>
      <c r="R46" s="20">
        <v>7</v>
      </c>
      <c r="S46" s="20">
        <v>0</v>
      </c>
      <c r="T46" s="20">
        <v>2</v>
      </c>
      <c r="U46" s="20">
        <v>13</v>
      </c>
      <c r="V46" s="20">
        <v>7</v>
      </c>
      <c r="W46" s="20">
        <v>0</v>
      </c>
      <c r="X46" s="20">
        <v>3</v>
      </c>
      <c r="Y46" s="20">
        <v>12</v>
      </c>
      <c r="Z46" s="20">
        <v>7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9</v>
      </c>
      <c r="F47" s="19">
        <f>T_DOC2[[#This Row],[TOTAL_DOCENTES]]-T_DOC2[[#This Row],[DOCENTES_MONITOREADOS]]</f>
      </c>
      <c r="G47" s="20">
        <v>0</v>
      </c>
      <c r="H47" s="20">
        <v>1</v>
      </c>
      <c r="I47" s="20">
        <v>5</v>
      </c>
      <c r="J47" s="20">
        <v>3</v>
      </c>
      <c r="K47" s="20">
        <v>0</v>
      </c>
      <c r="L47" s="20">
        <v>2</v>
      </c>
      <c r="M47" s="20">
        <v>4</v>
      </c>
      <c r="N47" s="20">
        <v>3</v>
      </c>
      <c r="O47" s="20">
        <v>0</v>
      </c>
      <c r="P47" s="20">
        <v>1</v>
      </c>
      <c r="Q47" s="20">
        <v>5</v>
      </c>
      <c r="R47" s="20">
        <v>3</v>
      </c>
      <c r="S47" s="20">
        <v>0</v>
      </c>
      <c r="T47" s="20">
        <v>1</v>
      </c>
      <c r="U47" s="20">
        <v>5</v>
      </c>
      <c r="V47" s="20">
        <v>3</v>
      </c>
      <c r="W47" s="20">
        <v>0</v>
      </c>
      <c r="X47" s="20">
        <v>1</v>
      </c>
      <c r="Y47" s="20">
        <v>5</v>
      </c>
      <c r="Z47" s="20">
        <v>3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19</v>
      </c>
      <c r="F48" s="19">
        <f>T_DOC2[[#This Row],[TOTAL_DOCENTES]]-T_DOC2[[#This Row],[DOCENTES_MONITOREADOS]]</f>
      </c>
      <c r="G48" s="20">
        <v>0</v>
      </c>
      <c r="H48" s="20">
        <v>2</v>
      </c>
      <c r="I48" s="20">
        <v>12</v>
      </c>
      <c r="J48" s="20">
        <v>5</v>
      </c>
      <c r="K48" s="20">
        <v>0</v>
      </c>
      <c r="L48" s="20">
        <v>3</v>
      </c>
      <c r="M48" s="20">
        <v>11</v>
      </c>
      <c r="N48" s="20">
        <v>5</v>
      </c>
      <c r="O48" s="20">
        <v>0</v>
      </c>
      <c r="P48" s="20">
        <v>2</v>
      </c>
      <c r="Q48" s="20">
        <v>12</v>
      </c>
      <c r="R48" s="20">
        <v>5</v>
      </c>
      <c r="S48" s="20">
        <v>0</v>
      </c>
      <c r="T48" s="20">
        <v>1</v>
      </c>
      <c r="U48" s="20">
        <v>13</v>
      </c>
      <c r="V48" s="20">
        <v>5</v>
      </c>
      <c r="W48" s="20">
        <v>0</v>
      </c>
      <c r="X48" s="20">
        <v>2</v>
      </c>
      <c r="Y48" s="20">
        <v>12</v>
      </c>
      <c r="Z48" s="20">
        <v>5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22</v>
      </c>
      <c r="F49" s="19">
        <f>T_DOC2[[#This Row],[TOTAL_DOCENTES]]-T_DOC2[[#This Row],[DOCENTES_MONITOREADOS]]</f>
      </c>
      <c r="G49" s="20">
        <v>0</v>
      </c>
      <c r="H49" s="20">
        <v>3</v>
      </c>
      <c r="I49" s="20">
        <v>12</v>
      </c>
      <c r="J49" s="20">
        <v>7</v>
      </c>
      <c r="K49" s="20">
        <v>0</v>
      </c>
      <c r="L49" s="20">
        <v>4</v>
      </c>
      <c r="M49" s="20">
        <v>11</v>
      </c>
      <c r="N49" s="20">
        <v>7</v>
      </c>
      <c r="O49" s="20">
        <v>0</v>
      </c>
      <c r="P49" s="20">
        <v>3</v>
      </c>
      <c r="Q49" s="20">
        <v>12</v>
      </c>
      <c r="R49" s="20">
        <v>7</v>
      </c>
      <c r="S49" s="20">
        <v>0</v>
      </c>
      <c r="T49" s="20">
        <v>2</v>
      </c>
      <c r="U49" s="20">
        <v>13</v>
      </c>
      <c r="V49" s="20">
        <v>7</v>
      </c>
      <c r="W49" s="20">
        <v>0</v>
      </c>
      <c r="X49" s="20">
        <v>3</v>
      </c>
      <c r="Y49" s="20">
        <v>12</v>
      </c>
      <c r="Z49" s="20">
        <v>7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9</v>
      </c>
      <c r="F50" s="19">
        <f>T_DOC2[[#This Row],[TOTAL_DOCENTES]]-T_DOC2[[#This Row],[DOCENTES_MONITOREADOS]]</f>
      </c>
      <c r="G50" s="20">
        <v>0</v>
      </c>
      <c r="H50" s="20">
        <v>1</v>
      </c>
      <c r="I50" s="20">
        <v>5</v>
      </c>
      <c r="J50" s="20">
        <v>3</v>
      </c>
      <c r="K50" s="20">
        <v>0</v>
      </c>
      <c r="L50" s="20">
        <v>2</v>
      </c>
      <c r="M50" s="20">
        <v>4</v>
      </c>
      <c r="N50" s="20">
        <v>3</v>
      </c>
      <c r="O50" s="20">
        <v>0</v>
      </c>
      <c r="P50" s="20">
        <v>1</v>
      </c>
      <c r="Q50" s="20">
        <v>5</v>
      </c>
      <c r="R50" s="20">
        <v>3</v>
      </c>
      <c r="S50" s="20">
        <v>0</v>
      </c>
      <c r="T50" s="20">
        <v>1</v>
      </c>
      <c r="U50" s="20">
        <v>5</v>
      </c>
      <c r="V50" s="20">
        <v>3</v>
      </c>
      <c r="W50" s="20">
        <v>0</v>
      </c>
      <c r="X50" s="20">
        <v>1</v>
      </c>
      <c r="Y50" s="20">
        <v>5</v>
      </c>
      <c r="Z50" s="20">
        <v>3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19</v>
      </c>
      <c r="F51" s="19">
        <f>T_DOC2[[#This Row],[TOTAL_DOCENTES]]-T_DOC2[[#This Row],[DOCENTES_MONITOREADOS]]</f>
      </c>
      <c r="G51" s="20">
        <v>0</v>
      </c>
      <c r="H51" s="20">
        <v>2</v>
      </c>
      <c r="I51" s="20">
        <v>12</v>
      </c>
      <c r="J51" s="20">
        <v>5</v>
      </c>
      <c r="K51" s="20">
        <v>0</v>
      </c>
      <c r="L51" s="20">
        <v>3</v>
      </c>
      <c r="M51" s="20">
        <v>11</v>
      </c>
      <c r="N51" s="20">
        <v>5</v>
      </c>
      <c r="O51" s="20">
        <v>0</v>
      </c>
      <c r="P51" s="20">
        <v>2</v>
      </c>
      <c r="Q51" s="20">
        <v>12</v>
      </c>
      <c r="R51" s="20">
        <v>5</v>
      </c>
      <c r="S51" s="20">
        <v>0</v>
      </c>
      <c r="T51" s="20">
        <v>1</v>
      </c>
      <c r="U51" s="20">
        <v>13</v>
      </c>
      <c r="V51" s="20">
        <v>5</v>
      </c>
      <c r="W51" s="20">
        <v>0</v>
      </c>
      <c r="X51" s="20">
        <v>2</v>
      </c>
      <c r="Y51" s="20">
        <v>12</v>
      </c>
      <c r="Z51" s="20">
        <v>5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22</v>
      </c>
      <c r="F52" s="19">
        <f>T_DOC2[[#This Row],[TOTAL_DOCENTES]]-T_DOC2[[#This Row],[DOCENTES_MONITOREADOS]]</f>
      </c>
      <c r="G52" s="20">
        <v>0</v>
      </c>
      <c r="H52" s="20">
        <v>3</v>
      </c>
      <c r="I52" s="20">
        <v>12</v>
      </c>
      <c r="J52" s="20">
        <v>7</v>
      </c>
      <c r="K52" s="20">
        <v>0</v>
      </c>
      <c r="L52" s="20">
        <v>4</v>
      </c>
      <c r="M52" s="20">
        <v>11</v>
      </c>
      <c r="N52" s="20">
        <v>7</v>
      </c>
      <c r="O52" s="20">
        <v>0</v>
      </c>
      <c r="P52" s="20">
        <v>3</v>
      </c>
      <c r="Q52" s="20">
        <v>12</v>
      </c>
      <c r="R52" s="20">
        <v>7</v>
      </c>
      <c r="S52" s="20">
        <v>0</v>
      </c>
      <c r="T52" s="20">
        <v>2</v>
      </c>
      <c r="U52" s="20">
        <v>13</v>
      </c>
      <c r="V52" s="20">
        <v>7</v>
      </c>
      <c r="W52" s="20">
        <v>0</v>
      </c>
      <c r="X52" s="20">
        <v>3</v>
      </c>
      <c r="Y52" s="20">
        <v>12</v>
      </c>
      <c r="Z52" s="20">
        <v>7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9</v>
      </c>
      <c r="F53" s="19">
        <f>T_DOC2[[#This Row],[TOTAL_DOCENTES]]-T_DOC2[[#This Row],[DOCENTES_MONITOREADOS]]</f>
      </c>
      <c r="G53" s="20">
        <v>0</v>
      </c>
      <c r="H53" s="20">
        <v>1</v>
      </c>
      <c r="I53" s="20">
        <v>5</v>
      </c>
      <c r="J53" s="20">
        <v>3</v>
      </c>
      <c r="K53" s="20">
        <v>0</v>
      </c>
      <c r="L53" s="20">
        <v>2</v>
      </c>
      <c r="M53" s="20">
        <v>4</v>
      </c>
      <c r="N53" s="20">
        <v>3</v>
      </c>
      <c r="O53" s="20">
        <v>0</v>
      </c>
      <c r="P53" s="20">
        <v>1</v>
      </c>
      <c r="Q53" s="20">
        <v>5</v>
      </c>
      <c r="R53" s="20">
        <v>3</v>
      </c>
      <c r="S53" s="20">
        <v>0</v>
      </c>
      <c r="T53" s="20">
        <v>1</v>
      </c>
      <c r="U53" s="20">
        <v>5</v>
      </c>
      <c r="V53" s="20">
        <v>3</v>
      </c>
      <c r="W53" s="20">
        <v>0</v>
      </c>
      <c r="X53" s="20">
        <v>1</v>
      </c>
      <c r="Y53" s="20">
        <v>5</v>
      </c>
      <c r="Z53" s="20">
        <v>3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19</v>
      </c>
      <c r="F54" s="19">
        <f>T_DOC2[[#This Row],[TOTAL_DOCENTES]]-T_DOC2[[#This Row],[DOCENTES_MONITOREADOS]]</f>
      </c>
      <c r="G54" s="20">
        <v>0</v>
      </c>
      <c r="H54" s="20">
        <v>2</v>
      </c>
      <c r="I54" s="20">
        <v>12</v>
      </c>
      <c r="J54" s="20">
        <v>5</v>
      </c>
      <c r="K54" s="20">
        <v>0</v>
      </c>
      <c r="L54" s="20">
        <v>3</v>
      </c>
      <c r="M54" s="20">
        <v>11</v>
      </c>
      <c r="N54" s="20">
        <v>5</v>
      </c>
      <c r="O54" s="20">
        <v>0</v>
      </c>
      <c r="P54" s="20">
        <v>2</v>
      </c>
      <c r="Q54" s="20">
        <v>12</v>
      </c>
      <c r="R54" s="20">
        <v>5</v>
      </c>
      <c r="S54" s="20">
        <v>0</v>
      </c>
      <c r="T54" s="20">
        <v>1</v>
      </c>
      <c r="U54" s="20">
        <v>13</v>
      </c>
      <c r="V54" s="20">
        <v>5</v>
      </c>
      <c r="W54" s="20">
        <v>0</v>
      </c>
      <c r="X54" s="20">
        <v>2</v>
      </c>
      <c r="Y54" s="20">
        <v>12</v>
      </c>
      <c r="Z54" s="20">
        <v>5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22</v>
      </c>
      <c r="F55" s="19">
        <f>T_DOC2[[#This Row],[TOTAL_DOCENTES]]-T_DOC2[[#This Row],[DOCENTES_MONITOREADOS]]</f>
      </c>
      <c r="G55" s="20">
        <v>0</v>
      </c>
      <c r="H55" s="20">
        <v>3</v>
      </c>
      <c r="I55" s="20">
        <v>12</v>
      </c>
      <c r="J55" s="20">
        <v>7</v>
      </c>
      <c r="K55" s="20">
        <v>0</v>
      </c>
      <c r="L55" s="20">
        <v>4</v>
      </c>
      <c r="M55" s="20">
        <v>11</v>
      </c>
      <c r="N55" s="20">
        <v>7</v>
      </c>
      <c r="O55" s="20">
        <v>0</v>
      </c>
      <c r="P55" s="20">
        <v>3</v>
      </c>
      <c r="Q55" s="20">
        <v>12</v>
      </c>
      <c r="R55" s="20">
        <v>7</v>
      </c>
      <c r="S55" s="20">
        <v>0</v>
      </c>
      <c r="T55" s="20">
        <v>2</v>
      </c>
      <c r="U55" s="20">
        <v>13</v>
      </c>
      <c r="V55" s="20">
        <v>7</v>
      </c>
      <c r="W55" s="20">
        <v>0</v>
      </c>
      <c r="X55" s="20">
        <v>3</v>
      </c>
      <c r="Y55" s="20">
        <v>12</v>
      </c>
      <c r="Z55" s="20">
        <v>7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9</v>
      </c>
      <c r="F56" s="19">
        <f>T_DOC2[[#This Row],[TOTAL_DOCENTES]]-T_DOC2[[#This Row],[DOCENTES_MONITOREADOS]]</f>
      </c>
      <c r="G56" s="20">
        <v>0</v>
      </c>
      <c r="H56" s="20">
        <v>1</v>
      </c>
      <c r="I56" s="20">
        <v>5</v>
      </c>
      <c r="J56" s="20">
        <v>3</v>
      </c>
      <c r="K56" s="20">
        <v>0</v>
      </c>
      <c r="L56" s="20">
        <v>2</v>
      </c>
      <c r="M56" s="20">
        <v>4</v>
      </c>
      <c r="N56" s="20">
        <v>3</v>
      </c>
      <c r="O56" s="20">
        <v>0</v>
      </c>
      <c r="P56" s="20">
        <v>1</v>
      </c>
      <c r="Q56" s="20">
        <v>5</v>
      </c>
      <c r="R56" s="20">
        <v>3</v>
      </c>
      <c r="S56" s="20">
        <v>0</v>
      </c>
      <c r="T56" s="20">
        <v>1</v>
      </c>
      <c r="U56" s="20">
        <v>5</v>
      </c>
      <c r="V56" s="20">
        <v>3</v>
      </c>
      <c r="W56" s="20">
        <v>0</v>
      </c>
      <c r="X56" s="20">
        <v>1</v>
      </c>
      <c r="Y56" s="20">
        <v>5</v>
      </c>
      <c r="Z56" s="20">
        <v>3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19</v>
      </c>
      <c r="F57" s="19">
        <f>T_DOC2[[#This Row],[TOTAL_DOCENTES]]-T_DOC2[[#This Row],[DOCENTES_MONITOREADOS]]</f>
      </c>
      <c r="G57" s="20">
        <v>0</v>
      </c>
      <c r="H57" s="20">
        <v>2</v>
      </c>
      <c r="I57" s="20">
        <v>12</v>
      </c>
      <c r="J57" s="20">
        <v>5</v>
      </c>
      <c r="K57" s="20">
        <v>0</v>
      </c>
      <c r="L57" s="20">
        <v>3</v>
      </c>
      <c r="M57" s="20">
        <v>11</v>
      </c>
      <c r="N57" s="20">
        <v>5</v>
      </c>
      <c r="O57" s="20">
        <v>0</v>
      </c>
      <c r="P57" s="20">
        <v>2</v>
      </c>
      <c r="Q57" s="20">
        <v>12</v>
      </c>
      <c r="R57" s="20">
        <v>5</v>
      </c>
      <c r="S57" s="20">
        <v>0</v>
      </c>
      <c r="T57" s="20">
        <v>1</v>
      </c>
      <c r="U57" s="20">
        <v>13</v>
      </c>
      <c r="V57" s="20">
        <v>5</v>
      </c>
      <c r="W57" s="20">
        <v>0</v>
      </c>
      <c r="X57" s="20">
        <v>2</v>
      </c>
      <c r="Y57" s="20">
        <v>12</v>
      </c>
      <c r="Z57" s="20">
        <v>5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22</v>
      </c>
      <c r="F58" s="19">
        <f>T_DOC2[[#This Row],[TOTAL_DOCENTES]]-T_DOC2[[#This Row],[DOCENTES_MONITOREADOS]]</f>
      </c>
      <c r="G58" s="20">
        <v>0</v>
      </c>
      <c r="H58" s="20">
        <v>3</v>
      </c>
      <c r="I58" s="20">
        <v>12</v>
      </c>
      <c r="J58" s="20">
        <v>7</v>
      </c>
      <c r="K58" s="20">
        <v>0</v>
      </c>
      <c r="L58" s="20">
        <v>4</v>
      </c>
      <c r="M58" s="20">
        <v>11</v>
      </c>
      <c r="N58" s="20">
        <v>7</v>
      </c>
      <c r="O58" s="20">
        <v>0</v>
      </c>
      <c r="P58" s="20">
        <v>3</v>
      </c>
      <c r="Q58" s="20">
        <v>12</v>
      </c>
      <c r="R58" s="20">
        <v>7</v>
      </c>
      <c r="S58" s="20">
        <v>0</v>
      </c>
      <c r="T58" s="20">
        <v>2</v>
      </c>
      <c r="U58" s="20">
        <v>13</v>
      </c>
      <c r="V58" s="20">
        <v>7</v>
      </c>
      <c r="W58" s="20">
        <v>0</v>
      </c>
      <c r="X58" s="20">
        <v>3</v>
      </c>
      <c r="Y58" s="20">
        <v>12</v>
      </c>
      <c r="Z58" s="20">
        <v>7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9</v>
      </c>
      <c r="F59" s="19">
        <f>T_DOC2[[#This Row],[TOTAL_DOCENTES]]-T_DOC2[[#This Row],[DOCENTES_MONITOREADOS]]</f>
      </c>
      <c r="G59" s="20">
        <v>0</v>
      </c>
      <c r="H59" s="20">
        <v>1</v>
      </c>
      <c r="I59" s="20">
        <v>5</v>
      </c>
      <c r="J59" s="20">
        <v>3</v>
      </c>
      <c r="K59" s="20">
        <v>0</v>
      </c>
      <c r="L59" s="20">
        <v>2</v>
      </c>
      <c r="M59" s="20">
        <v>4</v>
      </c>
      <c r="N59" s="20">
        <v>3</v>
      </c>
      <c r="O59" s="20">
        <v>0</v>
      </c>
      <c r="P59" s="20">
        <v>1</v>
      </c>
      <c r="Q59" s="20">
        <v>5</v>
      </c>
      <c r="R59" s="20">
        <v>3</v>
      </c>
      <c r="S59" s="20">
        <v>0</v>
      </c>
      <c r="T59" s="20">
        <v>1</v>
      </c>
      <c r="U59" s="20">
        <v>5</v>
      </c>
      <c r="V59" s="20">
        <v>3</v>
      </c>
      <c r="W59" s="20">
        <v>0</v>
      </c>
      <c r="X59" s="20">
        <v>1</v>
      </c>
      <c r="Y59" s="20">
        <v>5</v>
      </c>
      <c r="Z59" s="20">
        <v>3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19</v>
      </c>
      <c r="F60" s="19">
        <f>T_DOC2[[#This Row],[TOTAL_DOCENTES]]-T_DOC2[[#This Row],[DOCENTES_MONITOREADOS]]</f>
      </c>
      <c r="G60" s="20">
        <v>0</v>
      </c>
      <c r="H60" s="20">
        <v>2</v>
      </c>
      <c r="I60" s="20">
        <v>12</v>
      </c>
      <c r="J60" s="20">
        <v>5</v>
      </c>
      <c r="K60" s="20">
        <v>0</v>
      </c>
      <c r="L60" s="20">
        <v>3</v>
      </c>
      <c r="M60" s="20">
        <v>11</v>
      </c>
      <c r="N60" s="20">
        <v>5</v>
      </c>
      <c r="O60" s="20">
        <v>0</v>
      </c>
      <c r="P60" s="20">
        <v>2</v>
      </c>
      <c r="Q60" s="20">
        <v>12</v>
      </c>
      <c r="R60" s="20">
        <v>5</v>
      </c>
      <c r="S60" s="20">
        <v>0</v>
      </c>
      <c r="T60" s="20">
        <v>1</v>
      </c>
      <c r="U60" s="20">
        <v>13</v>
      </c>
      <c r="V60" s="20">
        <v>5</v>
      </c>
      <c r="W60" s="20">
        <v>0</v>
      </c>
      <c r="X60" s="20">
        <v>2</v>
      </c>
      <c r="Y60" s="20">
        <v>12</v>
      </c>
      <c r="Z60" s="20">
        <v>5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22</v>
      </c>
      <c r="F61" s="19">
        <f>T_DOC2[[#This Row],[TOTAL_DOCENTES]]-T_DOC2[[#This Row],[DOCENTES_MONITOREADOS]]</f>
      </c>
      <c r="G61" s="20">
        <v>0</v>
      </c>
      <c r="H61" s="20">
        <v>3</v>
      </c>
      <c r="I61" s="20">
        <v>12</v>
      </c>
      <c r="J61" s="20">
        <v>7</v>
      </c>
      <c r="K61" s="20">
        <v>0</v>
      </c>
      <c r="L61" s="20">
        <v>4</v>
      </c>
      <c r="M61" s="20">
        <v>11</v>
      </c>
      <c r="N61" s="20">
        <v>7</v>
      </c>
      <c r="O61" s="20">
        <v>0</v>
      </c>
      <c r="P61" s="20">
        <v>3</v>
      </c>
      <c r="Q61" s="20">
        <v>12</v>
      </c>
      <c r="R61" s="20">
        <v>7</v>
      </c>
      <c r="S61" s="20">
        <v>0</v>
      </c>
      <c r="T61" s="20">
        <v>2</v>
      </c>
      <c r="U61" s="20">
        <v>13</v>
      </c>
      <c r="V61" s="20">
        <v>7</v>
      </c>
      <c r="W61" s="20">
        <v>0</v>
      </c>
      <c r="X61" s="20">
        <v>3</v>
      </c>
      <c r="Y61" s="20">
        <v>12</v>
      </c>
      <c r="Z61" s="20">
        <v>7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9</v>
      </c>
      <c r="F62" s="19">
        <f>T_DOC2[[#This Row],[TOTAL_DOCENTES]]-T_DOC2[[#This Row],[DOCENTES_MONITOREADOS]]</f>
      </c>
      <c r="G62" s="20">
        <v>0</v>
      </c>
      <c r="H62" s="20">
        <v>1</v>
      </c>
      <c r="I62" s="20">
        <v>5</v>
      </c>
      <c r="J62" s="20">
        <v>3</v>
      </c>
      <c r="K62" s="20">
        <v>0</v>
      </c>
      <c r="L62" s="20">
        <v>2</v>
      </c>
      <c r="M62" s="20">
        <v>4</v>
      </c>
      <c r="N62" s="20">
        <v>3</v>
      </c>
      <c r="O62" s="20">
        <v>0</v>
      </c>
      <c r="P62" s="20">
        <v>1</v>
      </c>
      <c r="Q62" s="20">
        <v>5</v>
      </c>
      <c r="R62" s="20">
        <v>3</v>
      </c>
      <c r="S62" s="20">
        <v>0</v>
      </c>
      <c r="T62" s="20">
        <v>1</v>
      </c>
      <c r="U62" s="20">
        <v>5</v>
      </c>
      <c r="V62" s="20">
        <v>3</v>
      </c>
      <c r="W62" s="20">
        <v>0</v>
      </c>
      <c r="X62" s="20">
        <v>1</v>
      </c>
      <c r="Y62" s="20">
        <v>5</v>
      </c>
      <c r="Z62" s="20">
        <v>3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19</v>
      </c>
      <c r="F63" s="19">
        <f>T_DOC2[[#This Row],[TOTAL_DOCENTES]]-T_DOC2[[#This Row],[DOCENTES_MONITOREADOS]]</f>
      </c>
      <c r="G63" s="20">
        <v>0</v>
      </c>
      <c r="H63" s="20">
        <v>2</v>
      </c>
      <c r="I63" s="20">
        <v>12</v>
      </c>
      <c r="J63" s="20">
        <v>5</v>
      </c>
      <c r="K63" s="20">
        <v>0</v>
      </c>
      <c r="L63" s="20">
        <v>3</v>
      </c>
      <c r="M63" s="20">
        <v>11</v>
      </c>
      <c r="N63" s="20">
        <v>5</v>
      </c>
      <c r="O63" s="20">
        <v>0</v>
      </c>
      <c r="P63" s="20">
        <v>2</v>
      </c>
      <c r="Q63" s="20">
        <v>12</v>
      </c>
      <c r="R63" s="20">
        <v>5</v>
      </c>
      <c r="S63" s="20">
        <v>0</v>
      </c>
      <c r="T63" s="20">
        <v>1</v>
      </c>
      <c r="U63" s="20">
        <v>13</v>
      </c>
      <c r="V63" s="20">
        <v>5</v>
      </c>
      <c r="W63" s="20">
        <v>0</v>
      </c>
      <c r="X63" s="20">
        <v>2</v>
      </c>
      <c r="Y63" s="20">
        <v>12</v>
      </c>
      <c r="Z63" s="20">
        <v>5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22</v>
      </c>
      <c r="F64" s="19">
        <f>T_DOC2[[#This Row],[TOTAL_DOCENTES]]-T_DOC2[[#This Row],[DOCENTES_MONITOREADOS]]</f>
      </c>
      <c r="G64" s="20">
        <v>0</v>
      </c>
      <c r="H64" s="20">
        <v>3</v>
      </c>
      <c r="I64" s="20">
        <v>12</v>
      </c>
      <c r="J64" s="20">
        <v>7</v>
      </c>
      <c r="K64" s="20">
        <v>0</v>
      </c>
      <c r="L64" s="20">
        <v>4</v>
      </c>
      <c r="M64" s="20">
        <v>11</v>
      </c>
      <c r="N64" s="20">
        <v>7</v>
      </c>
      <c r="O64" s="20">
        <v>0</v>
      </c>
      <c r="P64" s="20">
        <v>3</v>
      </c>
      <c r="Q64" s="20">
        <v>12</v>
      </c>
      <c r="R64" s="20">
        <v>7</v>
      </c>
      <c r="S64" s="20">
        <v>0</v>
      </c>
      <c r="T64" s="20">
        <v>2</v>
      </c>
      <c r="U64" s="20">
        <v>13</v>
      </c>
      <c r="V64" s="20">
        <v>7</v>
      </c>
      <c r="W64" s="20">
        <v>0</v>
      </c>
      <c r="X64" s="20">
        <v>3</v>
      </c>
      <c r="Y64" s="20">
        <v>12</v>
      </c>
      <c r="Z64" s="20">
        <v>7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9</v>
      </c>
      <c r="F65" s="19">
        <f>T_DOC2[[#This Row],[TOTAL_DOCENTES]]-T_DOC2[[#This Row],[DOCENTES_MONITOREADOS]]</f>
      </c>
      <c r="G65" s="20">
        <v>0</v>
      </c>
      <c r="H65" s="20">
        <v>1</v>
      </c>
      <c r="I65" s="20">
        <v>5</v>
      </c>
      <c r="J65" s="20">
        <v>3</v>
      </c>
      <c r="K65" s="20">
        <v>0</v>
      </c>
      <c r="L65" s="20">
        <v>2</v>
      </c>
      <c r="M65" s="20">
        <v>4</v>
      </c>
      <c r="N65" s="20">
        <v>3</v>
      </c>
      <c r="O65" s="20">
        <v>0</v>
      </c>
      <c r="P65" s="20">
        <v>1</v>
      </c>
      <c r="Q65" s="20">
        <v>5</v>
      </c>
      <c r="R65" s="20">
        <v>3</v>
      </c>
      <c r="S65" s="20">
        <v>0</v>
      </c>
      <c r="T65" s="20">
        <v>1</v>
      </c>
      <c r="U65" s="20">
        <v>5</v>
      </c>
      <c r="V65" s="20">
        <v>3</v>
      </c>
      <c r="W65" s="20">
        <v>0</v>
      </c>
      <c r="X65" s="20">
        <v>1</v>
      </c>
      <c r="Y65" s="20">
        <v>5</v>
      </c>
      <c r="Z65" s="20">
        <v>3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19</v>
      </c>
      <c r="F66" s="19">
        <f>T_DOC2[[#This Row],[TOTAL_DOCENTES]]-T_DOC2[[#This Row],[DOCENTES_MONITOREADOS]]</f>
      </c>
      <c r="G66" s="20">
        <v>0</v>
      </c>
      <c r="H66" s="20">
        <v>2</v>
      </c>
      <c r="I66" s="20">
        <v>12</v>
      </c>
      <c r="J66" s="20">
        <v>5</v>
      </c>
      <c r="K66" s="20">
        <v>0</v>
      </c>
      <c r="L66" s="20">
        <v>3</v>
      </c>
      <c r="M66" s="20">
        <v>11</v>
      </c>
      <c r="N66" s="20">
        <v>5</v>
      </c>
      <c r="O66" s="20">
        <v>0</v>
      </c>
      <c r="P66" s="20">
        <v>2</v>
      </c>
      <c r="Q66" s="20">
        <v>12</v>
      </c>
      <c r="R66" s="20">
        <v>5</v>
      </c>
      <c r="S66" s="20">
        <v>0</v>
      </c>
      <c r="T66" s="20">
        <v>1</v>
      </c>
      <c r="U66" s="20">
        <v>13</v>
      </c>
      <c r="V66" s="20">
        <v>5</v>
      </c>
      <c r="W66" s="20">
        <v>0</v>
      </c>
      <c r="X66" s="20">
        <v>2</v>
      </c>
      <c r="Y66" s="20">
        <v>12</v>
      </c>
      <c r="Z66" s="20">
        <v>5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22</v>
      </c>
      <c r="F67" s="19">
        <f>T_DOC2[[#This Row],[TOTAL_DOCENTES]]-T_DOC2[[#This Row],[DOCENTES_MONITOREADOS]]</f>
      </c>
      <c r="G67" s="20">
        <v>0</v>
      </c>
      <c r="H67" s="20">
        <v>3</v>
      </c>
      <c r="I67" s="20">
        <v>12</v>
      </c>
      <c r="J67" s="20">
        <v>7</v>
      </c>
      <c r="K67" s="20">
        <v>0</v>
      </c>
      <c r="L67" s="20">
        <v>4</v>
      </c>
      <c r="M67" s="20">
        <v>11</v>
      </c>
      <c r="N67" s="20">
        <v>7</v>
      </c>
      <c r="O67" s="20">
        <v>0</v>
      </c>
      <c r="P67" s="20">
        <v>3</v>
      </c>
      <c r="Q67" s="20">
        <v>12</v>
      </c>
      <c r="R67" s="20">
        <v>7</v>
      </c>
      <c r="S67" s="20">
        <v>0</v>
      </c>
      <c r="T67" s="20">
        <v>2</v>
      </c>
      <c r="U67" s="20">
        <v>13</v>
      </c>
      <c r="V67" s="20">
        <v>7</v>
      </c>
      <c r="W67" s="20">
        <v>0</v>
      </c>
      <c r="X67" s="20">
        <v>3</v>
      </c>
      <c r="Y67" s="20">
        <v>12</v>
      </c>
      <c r="Z67" s="20">
        <v>7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9</v>
      </c>
      <c r="F68" s="19">
        <f>T_DOC2[[#This Row],[TOTAL_DOCENTES]]-T_DOC2[[#This Row],[DOCENTES_MONITOREADOS]]</f>
      </c>
      <c r="G68" s="20">
        <v>0</v>
      </c>
      <c r="H68" s="20">
        <v>1</v>
      </c>
      <c r="I68" s="20">
        <v>5</v>
      </c>
      <c r="J68" s="20">
        <v>3</v>
      </c>
      <c r="K68" s="20">
        <v>0</v>
      </c>
      <c r="L68" s="20">
        <v>2</v>
      </c>
      <c r="M68" s="20">
        <v>4</v>
      </c>
      <c r="N68" s="20">
        <v>3</v>
      </c>
      <c r="O68" s="20">
        <v>0</v>
      </c>
      <c r="P68" s="20">
        <v>1</v>
      </c>
      <c r="Q68" s="20">
        <v>5</v>
      </c>
      <c r="R68" s="20">
        <v>3</v>
      </c>
      <c r="S68" s="20">
        <v>0</v>
      </c>
      <c r="T68" s="20">
        <v>1</v>
      </c>
      <c r="U68" s="20">
        <v>5</v>
      </c>
      <c r="V68" s="20">
        <v>3</v>
      </c>
      <c r="W68" s="20">
        <v>0</v>
      </c>
      <c r="X68" s="20">
        <v>1</v>
      </c>
      <c r="Y68" s="20">
        <v>5</v>
      </c>
      <c r="Z68" s="20">
        <v>3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19</v>
      </c>
      <c r="F69" s="19">
        <f>T_DOC2[[#This Row],[TOTAL_DOCENTES]]-T_DOC2[[#This Row],[DOCENTES_MONITOREADOS]]</f>
      </c>
      <c r="G69" s="20">
        <v>0</v>
      </c>
      <c r="H69" s="20">
        <v>2</v>
      </c>
      <c r="I69" s="20">
        <v>12</v>
      </c>
      <c r="J69" s="20">
        <v>5</v>
      </c>
      <c r="K69" s="20">
        <v>0</v>
      </c>
      <c r="L69" s="20">
        <v>3</v>
      </c>
      <c r="M69" s="20">
        <v>11</v>
      </c>
      <c r="N69" s="20">
        <v>5</v>
      </c>
      <c r="O69" s="20">
        <v>0</v>
      </c>
      <c r="P69" s="20">
        <v>2</v>
      </c>
      <c r="Q69" s="20">
        <v>12</v>
      </c>
      <c r="R69" s="20">
        <v>5</v>
      </c>
      <c r="S69" s="20">
        <v>0</v>
      </c>
      <c r="T69" s="20">
        <v>1</v>
      </c>
      <c r="U69" s="20">
        <v>13</v>
      </c>
      <c r="V69" s="20">
        <v>5</v>
      </c>
      <c r="W69" s="20">
        <v>0</v>
      </c>
      <c r="X69" s="20">
        <v>2</v>
      </c>
      <c r="Y69" s="20">
        <v>12</v>
      </c>
      <c r="Z69" s="20">
        <v>5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22</v>
      </c>
      <c r="F70" s="19">
        <f>T_DOC2[[#This Row],[TOTAL_DOCENTES]]-T_DOC2[[#This Row],[DOCENTES_MONITOREADOS]]</f>
      </c>
      <c r="G70" s="20">
        <v>0</v>
      </c>
      <c r="H70" s="20">
        <v>3</v>
      </c>
      <c r="I70" s="20">
        <v>12</v>
      </c>
      <c r="J70" s="20">
        <v>7</v>
      </c>
      <c r="K70" s="20">
        <v>0</v>
      </c>
      <c r="L70" s="20">
        <v>4</v>
      </c>
      <c r="M70" s="20">
        <v>11</v>
      </c>
      <c r="N70" s="20">
        <v>7</v>
      </c>
      <c r="O70" s="20">
        <v>0</v>
      </c>
      <c r="P70" s="20">
        <v>3</v>
      </c>
      <c r="Q70" s="20">
        <v>12</v>
      </c>
      <c r="R70" s="20">
        <v>7</v>
      </c>
      <c r="S70" s="20">
        <v>0</v>
      </c>
      <c r="T70" s="20">
        <v>2</v>
      </c>
      <c r="U70" s="20">
        <v>13</v>
      </c>
      <c r="V70" s="20">
        <v>7</v>
      </c>
      <c r="W70" s="20">
        <v>0</v>
      </c>
      <c r="X70" s="20">
        <v>3</v>
      </c>
      <c r="Y70" s="20">
        <v>12</v>
      </c>
      <c r="Z70" s="20">
        <v>7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9</v>
      </c>
      <c r="F71" s="19">
        <f>T_DOC2[[#This Row],[TOTAL_DOCENTES]]-T_DOC2[[#This Row],[DOCENTES_MONITOREADOS]]</f>
      </c>
      <c r="G71" s="20">
        <v>0</v>
      </c>
      <c r="H71" s="20">
        <v>1</v>
      </c>
      <c r="I71" s="20">
        <v>5</v>
      </c>
      <c r="J71" s="20">
        <v>3</v>
      </c>
      <c r="K71" s="20">
        <v>0</v>
      </c>
      <c r="L71" s="20">
        <v>2</v>
      </c>
      <c r="M71" s="20">
        <v>4</v>
      </c>
      <c r="N71" s="20">
        <v>3</v>
      </c>
      <c r="O71" s="20">
        <v>0</v>
      </c>
      <c r="P71" s="20">
        <v>1</v>
      </c>
      <c r="Q71" s="20">
        <v>5</v>
      </c>
      <c r="R71" s="20">
        <v>3</v>
      </c>
      <c r="S71" s="20">
        <v>0</v>
      </c>
      <c r="T71" s="20">
        <v>1</v>
      </c>
      <c r="U71" s="20">
        <v>5</v>
      </c>
      <c r="V71" s="20">
        <v>3</v>
      </c>
      <c r="W71" s="20">
        <v>0</v>
      </c>
      <c r="X71" s="20">
        <v>1</v>
      </c>
      <c r="Y71" s="20">
        <v>5</v>
      </c>
      <c r="Z71" s="20">
        <v>3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19</v>
      </c>
      <c r="F72" s="19">
        <f>T_DOC2[[#This Row],[TOTAL_DOCENTES]]-T_DOC2[[#This Row],[DOCENTES_MONITOREADOS]]</f>
      </c>
      <c r="G72" s="20">
        <v>0</v>
      </c>
      <c r="H72" s="20">
        <v>2</v>
      </c>
      <c r="I72" s="20">
        <v>12</v>
      </c>
      <c r="J72" s="20">
        <v>5</v>
      </c>
      <c r="K72" s="20">
        <v>0</v>
      </c>
      <c r="L72" s="20">
        <v>3</v>
      </c>
      <c r="M72" s="20">
        <v>11</v>
      </c>
      <c r="N72" s="20">
        <v>5</v>
      </c>
      <c r="O72" s="20">
        <v>0</v>
      </c>
      <c r="P72" s="20">
        <v>2</v>
      </c>
      <c r="Q72" s="20">
        <v>12</v>
      </c>
      <c r="R72" s="20">
        <v>5</v>
      </c>
      <c r="S72" s="20">
        <v>0</v>
      </c>
      <c r="T72" s="20">
        <v>1</v>
      </c>
      <c r="U72" s="20">
        <v>13</v>
      </c>
      <c r="V72" s="20">
        <v>5</v>
      </c>
      <c r="W72" s="20">
        <v>0</v>
      </c>
      <c r="X72" s="20">
        <v>2</v>
      </c>
      <c r="Y72" s="20">
        <v>12</v>
      </c>
      <c r="Z72" s="20">
        <v>5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22</v>
      </c>
      <c r="F73" s="19">
        <f>T_DOC2[[#This Row],[TOTAL_DOCENTES]]-T_DOC2[[#This Row],[DOCENTES_MONITOREADOS]]</f>
      </c>
      <c r="G73" s="20">
        <v>0</v>
      </c>
      <c r="H73" s="20">
        <v>3</v>
      </c>
      <c r="I73" s="20">
        <v>12</v>
      </c>
      <c r="J73" s="20">
        <v>7</v>
      </c>
      <c r="K73" s="20">
        <v>0</v>
      </c>
      <c r="L73" s="20">
        <v>4</v>
      </c>
      <c r="M73" s="20">
        <v>11</v>
      </c>
      <c r="N73" s="20">
        <v>7</v>
      </c>
      <c r="O73" s="20">
        <v>0</v>
      </c>
      <c r="P73" s="20">
        <v>3</v>
      </c>
      <c r="Q73" s="20">
        <v>12</v>
      </c>
      <c r="R73" s="20">
        <v>7</v>
      </c>
      <c r="S73" s="20">
        <v>0</v>
      </c>
      <c r="T73" s="20">
        <v>2</v>
      </c>
      <c r="U73" s="20">
        <v>13</v>
      </c>
      <c r="V73" s="20">
        <v>7</v>
      </c>
      <c r="W73" s="20">
        <v>0</v>
      </c>
      <c r="X73" s="20">
        <v>3</v>
      </c>
      <c r="Y73" s="20">
        <v>12</v>
      </c>
      <c r="Z73" s="20">
        <v>7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9</v>
      </c>
      <c r="F74" s="19">
        <f>T_DOC2[[#This Row],[TOTAL_DOCENTES]]-T_DOC2[[#This Row],[DOCENTES_MONITOREADOS]]</f>
      </c>
      <c r="G74" s="20">
        <v>0</v>
      </c>
      <c r="H74" s="20">
        <v>1</v>
      </c>
      <c r="I74" s="20">
        <v>5</v>
      </c>
      <c r="J74" s="20">
        <v>3</v>
      </c>
      <c r="K74" s="20">
        <v>0</v>
      </c>
      <c r="L74" s="20">
        <v>2</v>
      </c>
      <c r="M74" s="20">
        <v>4</v>
      </c>
      <c r="N74" s="20">
        <v>3</v>
      </c>
      <c r="O74" s="20">
        <v>0</v>
      </c>
      <c r="P74" s="20">
        <v>1</v>
      </c>
      <c r="Q74" s="20">
        <v>5</v>
      </c>
      <c r="R74" s="20">
        <v>3</v>
      </c>
      <c r="S74" s="20">
        <v>0</v>
      </c>
      <c r="T74" s="20">
        <v>1</v>
      </c>
      <c r="U74" s="20">
        <v>5</v>
      </c>
      <c r="V74" s="20">
        <v>3</v>
      </c>
      <c r="W74" s="20">
        <v>0</v>
      </c>
      <c r="X74" s="20">
        <v>1</v>
      </c>
      <c r="Y74" s="20">
        <v>5</v>
      </c>
      <c r="Z74" s="20">
        <v>3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19</v>
      </c>
      <c r="F75" s="19">
        <f>T_DOC2[[#This Row],[TOTAL_DOCENTES]]-T_DOC2[[#This Row],[DOCENTES_MONITOREADOS]]</f>
      </c>
      <c r="G75" s="20">
        <v>0</v>
      </c>
      <c r="H75" s="20">
        <v>2</v>
      </c>
      <c r="I75" s="20">
        <v>12</v>
      </c>
      <c r="J75" s="20">
        <v>5</v>
      </c>
      <c r="K75" s="20">
        <v>0</v>
      </c>
      <c r="L75" s="20">
        <v>3</v>
      </c>
      <c r="M75" s="20">
        <v>11</v>
      </c>
      <c r="N75" s="20">
        <v>5</v>
      </c>
      <c r="O75" s="20">
        <v>0</v>
      </c>
      <c r="P75" s="20">
        <v>2</v>
      </c>
      <c r="Q75" s="20">
        <v>12</v>
      </c>
      <c r="R75" s="20">
        <v>5</v>
      </c>
      <c r="S75" s="20">
        <v>0</v>
      </c>
      <c r="T75" s="20">
        <v>1</v>
      </c>
      <c r="U75" s="20">
        <v>13</v>
      </c>
      <c r="V75" s="20">
        <v>5</v>
      </c>
      <c r="W75" s="20">
        <v>0</v>
      </c>
      <c r="X75" s="20">
        <v>2</v>
      </c>
      <c r="Y75" s="20">
        <v>12</v>
      </c>
      <c r="Z75" s="20">
        <v>5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22</v>
      </c>
      <c r="F76" s="19">
        <f>T_DOC2[[#This Row],[TOTAL_DOCENTES]]-T_DOC2[[#This Row],[DOCENTES_MONITOREADOS]]</f>
      </c>
      <c r="G76" s="20">
        <v>0</v>
      </c>
      <c r="H76" s="20">
        <v>3</v>
      </c>
      <c r="I76" s="20">
        <v>12</v>
      </c>
      <c r="J76" s="20">
        <v>7</v>
      </c>
      <c r="K76" s="20">
        <v>0</v>
      </c>
      <c r="L76" s="20">
        <v>4</v>
      </c>
      <c r="M76" s="20">
        <v>11</v>
      </c>
      <c r="N76" s="20">
        <v>7</v>
      </c>
      <c r="O76" s="20">
        <v>0</v>
      </c>
      <c r="P76" s="20">
        <v>3</v>
      </c>
      <c r="Q76" s="20">
        <v>12</v>
      </c>
      <c r="R76" s="20">
        <v>7</v>
      </c>
      <c r="S76" s="20">
        <v>0</v>
      </c>
      <c r="T76" s="20">
        <v>2</v>
      </c>
      <c r="U76" s="20">
        <v>13</v>
      </c>
      <c r="V76" s="20">
        <v>7</v>
      </c>
      <c r="W76" s="20">
        <v>0</v>
      </c>
      <c r="X76" s="20">
        <v>3</v>
      </c>
      <c r="Y76" s="20">
        <v>12</v>
      </c>
      <c r="Z76" s="20">
        <v>7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9</v>
      </c>
      <c r="F77" s="19">
        <f>T_DOC2[[#This Row],[TOTAL_DOCENTES]]-T_DOC2[[#This Row],[DOCENTES_MONITOREADOS]]</f>
      </c>
      <c r="G77" s="20">
        <v>0</v>
      </c>
      <c r="H77" s="20">
        <v>1</v>
      </c>
      <c r="I77" s="20">
        <v>5</v>
      </c>
      <c r="J77" s="20">
        <v>3</v>
      </c>
      <c r="K77" s="20">
        <v>0</v>
      </c>
      <c r="L77" s="20">
        <v>2</v>
      </c>
      <c r="M77" s="20">
        <v>4</v>
      </c>
      <c r="N77" s="20">
        <v>3</v>
      </c>
      <c r="O77" s="20">
        <v>0</v>
      </c>
      <c r="P77" s="20">
        <v>1</v>
      </c>
      <c r="Q77" s="20">
        <v>5</v>
      </c>
      <c r="R77" s="20">
        <v>3</v>
      </c>
      <c r="S77" s="20">
        <v>0</v>
      </c>
      <c r="T77" s="20">
        <v>1</v>
      </c>
      <c r="U77" s="20">
        <v>5</v>
      </c>
      <c r="V77" s="20">
        <v>3</v>
      </c>
      <c r="W77" s="20">
        <v>0</v>
      </c>
      <c r="X77" s="20">
        <v>1</v>
      </c>
      <c r="Y77" s="20">
        <v>5</v>
      </c>
      <c r="Z77" s="20">
        <v>3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19</v>
      </c>
      <c r="F78" s="19">
        <f>T_DOC2[[#This Row],[TOTAL_DOCENTES]]-T_DOC2[[#This Row],[DOCENTES_MONITOREADOS]]</f>
      </c>
      <c r="G78" s="20">
        <v>0</v>
      </c>
      <c r="H78" s="20">
        <v>2</v>
      </c>
      <c r="I78" s="20">
        <v>12</v>
      </c>
      <c r="J78" s="20">
        <v>5</v>
      </c>
      <c r="K78" s="20">
        <v>0</v>
      </c>
      <c r="L78" s="20">
        <v>3</v>
      </c>
      <c r="M78" s="20">
        <v>11</v>
      </c>
      <c r="N78" s="20">
        <v>5</v>
      </c>
      <c r="O78" s="20">
        <v>0</v>
      </c>
      <c r="P78" s="20">
        <v>2</v>
      </c>
      <c r="Q78" s="20">
        <v>12</v>
      </c>
      <c r="R78" s="20">
        <v>5</v>
      </c>
      <c r="S78" s="20">
        <v>0</v>
      </c>
      <c r="T78" s="20">
        <v>1</v>
      </c>
      <c r="U78" s="20">
        <v>13</v>
      </c>
      <c r="V78" s="20">
        <v>5</v>
      </c>
      <c r="W78" s="20">
        <v>0</v>
      </c>
      <c r="X78" s="20">
        <v>2</v>
      </c>
      <c r="Y78" s="20">
        <v>12</v>
      </c>
      <c r="Z78" s="20">
        <v>5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22</v>
      </c>
      <c r="F79" s="19">
        <f>T_DOC2[[#This Row],[TOTAL_DOCENTES]]-T_DOC2[[#This Row],[DOCENTES_MONITOREADOS]]</f>
      </c>
      <c r="G79" s="20">
        <v>0</v>
      </c>
      <c r="H79" s="20">
        <v>3</v>
      </c>
      <c r="I79" s="20">
        <v>12</v>
      </c>
      <c r="J79" s="20">
        <v>7</v>
      </c>
      <c r="K79" s="20">
        <v>0</v>
      </c>
      <c r="L79" s="20">
        <v>4</v>
      </c>
      <c r="M79" s="20">
        <v>11</v>
      </c>
      <c r="N79" s="20">
        <v>7</v>
      </c>
      <c r="O79" s="20">
        <v>0</v>
      </c>
      <c r="P79" s="20">
        <v>3</v>
      </c>
      <c r="Q79" s="20">
        <v>12</v>
      </c>
      <c r="R79" s="20">
        <v>7</v>
      </c>
      <c r="S79" s="20">
        <v>0</v>
      </c>
      <c r="T79" s="20">
        <v>2</v>
      </c>
      <c r="U79" s="20">
        <v>13</v>
      </c>
      <c r="V79" s="20">
        <v>7</v>
      </c>
      <c r="W79" s="20">
        <v>0</v>
      </c>
      <c r="X79" s="20">
        <v>3</v>
      </c>
      <c r="Y79" s="20">
        <v>12</v>
      </c>
      <c r="Z79" s="20">
        <v>7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9</v>
      </c>
      <c r="F80" s="19">
        <f>T_DOC2[[#This Row],[TOTAL_DOCENTES]]-T_DOC2[[#This Row],[DOCENTES_MONITOREADOS]]</f>
      </c>
      <c r="G80" s="20">
        <v>0</v>
      </c>
      <c r="H80" s="20">
        <v>1</v>
      </c>
      <c r="I80" s="20">
        <v>5</v>
      </c>
      <c r="J80" s="20">
        <v>3</v>
      </c>
      <c r="K80" s="20">
        <v>0</v>
      </c>
      <c r="L80" s="20">
        <v>2</v>
      </c>
      <c r="M80" s="20">
        <v>4</v>
      </c>
      <c r="N80" s="20">
        <v>3</v>
      </c>
      <c r="O80" s="20">
        <v>0</v>
      </c>
      <c r="P80" s="20">
        <v>1</v>
      </c>
      <c r="Q80" s="20">
        <v>5</v>
      </c>
      <c r="R80" s="20">
        <v>3</v>
      </c>
      <c r="S80" s="20">
        <v>0</v>
      </c>
      <c r="T80" s="20">
        <v>1</v>
      </c>
      <c r="U80" s="20">
        <v>5</v>
      </c>
      <c r="V80" s="20">
        <v>3</v>
      </c>
      <c r="W80" s="20">
        <v>0</v>
      </c>
      <c r="X80" s="20">
        <v>1</v>
      </c>
      <c r="Y80" s="20">
        <v>5</v>
      </c>
      <c r="Z80" s="20">
        <v>3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19</v>
      </c>
      <c r="F81" s="19">
        <f>T_DOC2[[#This Row],[TOTAL_DOCENTES]]-T_DOC2[[#This Row],[DOCENTES_MONITOREADOS]]</f>
      </c>
      <c r="G81" s="20">
        <v>0</v>
      </c>
      <c r="H81" s="20">
        <v>2</v>
      </c>
      <c r="I81" s="20">
        <v>12</v>
      </c>
      <c r="J81" s="20">
        <v>5</v>
      </c>
      <c r="K81" s="20">
        <v>0</v>
      </c>
      <c r="L81" s="20">
        <v>3</v>
      </c>
      <c r="M81" s="20">
        <v>11</v>
      </c>
      <c r="N81" s="20">
        <v>5</v>
      </c>
      <c r="O81" s="20">
        <v>0</v>
      </c>
      <c r="P81" s="20">
        <v>2</v>
      </c>
      <c r="Q81" s="20">
        <v>12</v>
      </c>
      <c r="R81" s="20">
        <v>5</v>
      </c>
      <c r="S81" s="20">
        <v>0</v>
      </c>
      <c r="T81" s="20">
        <v>1</v>
      </c>
      <c r="U81" s="20">
        <v>13</v>
      </c>
      <c r="V81" s="20">
        <v>5</v>
      </c>
      <c r="W81" s="20">
        <v>0</v>
      </c>
      <c r="X81" s="20">
        <v>2</v>
      </c>
      <c r="Y81" s="20">
        <v>12</v>
      </c>
      <c r="Z81" s="20">
        <v>5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22</v>
      </c>
      <c r="F82" s="19">
        <f>T_DOC2[[#This Row],[TOTAL_DOCENTES]]-T_DOC2[[#This Row],[DOCENTES_MONITOREADOS]]</f>
      </c>
      <c r="G82" s="20">
        <v>0</v>
      </c>
      <c r="H82" s="20">
        <v>3</v>
      </c>
      <c r="I82" s="20">
        <v>12</v>
      </c>
      <c r="J82" s="20">
        <v>7</v>
      </c>
      <c r="K82" s="20">
        <v>0</v>
      </c>
      <c r="L82" s="20">
        <v>4</v>
      </c>
      <c r="M82" s="20">
        <v>11</v>
      </c>
      <c r="N82" s="20">
        <v>7</v>
      </c>
      <c r="O82" s="20">
        <v>0</v>
      </c>
      <c r="P82" s="20">
        <v>3</v>
      </c>
      <c r="Q82" s="20">
        <v>12</v>
      </c>
      <c r="R82" s="20">
        <v>7</v>
      </c>
      <c r="S82" s="20">
        <v>0</v>
      </c>
      <c r="T82" s="20">
        <v>2</v>
      </c>
      <c r="U82" s="20">
        <v>13</v>
      </c>
      <c r="V82" s="20">
        <v>7</v>
      </c>
      <c r="W82" s="20">
        <v>0</v>
      </c>
      <c r="X82" s="20">
        <v>3</v>
      </c>
      <c r="Y82" s="20">
        <v>12</v>
      </c>
      <c r="Z82" s="20">
        <v>7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9</v>
      </c>
      <c r="F83" s="19">
        <f>T_DOC2[[#This Row],[TOTAL_DOCENTES]]-T_DOC2[[#This Row],[DOCENTES_MONITOREADOS]]</f>
      </c>
      <c r="G83" s="20">
        <v>0</v>
      </c>
      <c r="H83" s="20">
        <v>1</v>
      </c>
      <c r="I83" s="20">
        <v>5</v>
      </c>
      <c r="J83" s="20">
        <v>3</v>
      </c>
      <c r="K83" s="20">
        <v>0</v>
      </c>
      <c r="L83" s="20">
        <v>2</v>
      </c>
      <c r="M83" s="20">
        <v>4</v>
      </c>
      <c r="N83" s="20">
        <v>3</v>
      </c>
      <c r="O83" s="20">
        <v>0</v>
      </c>
      <c r="P83" s="20">
        <v>1</v>
      </c>
      <c r="Q83" s="20">
        <v>5</v>
      </c>
      <c r="R83" s="20">
        <v>3</v>
      </c>
      <c r="S83" s="20">
        <v>0</v>
      </c>
      <c r="T83" s="20">
        <v>1</v>
      </c>
      <c r="U83" s="20">
        <v>5</v>
      </c>
      <c r="V83" s="20">
        <v>3</v>
      </c>
      <c r="W83" s="20">
        <v>0</v>
      </c>
      <c r="X83" s="20">
        <v>1</v>
      </c>
      <c r="Y83" s="20">
        <v>5</v>
      </c>
      <c r="Z83" s="20">
        <v>3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19</v>
      </c>
      <c r="F84" s="19">
        <f>T_DOC2[[#This Row],[TOTAL_DOCENTES]]-T_DOC2[[#This Row],[DOCENTES_MONITOREADOS]]</f>
      </c>
      <c r="G84" s="20">
        <v>0</v>
      </c>
      <c r="H84" s="20">
        <v>2</v>
      </c>
      <c r="I84" s="20">
        <v>12</v>
      </c>
      <c r="J84" s="20">
        <v>5</v>
      </c>
      <c r="K84" s="20">
        <v>0</v>
      </c>
      <c r="L84" s="20">
        <v>3</v>
      </c>
      <c r="M84" s="20">
        <v>11</v>
      </c>
      <c r="N84" s="20">
        <v>5</v>
      </c>
      <c r="O84" s="20">
        <v>0</v>
      </c>
      <c r="P84" s="20">
        <v>2</v>
      </c>
      <c r="Q84" s="20">
        <v>12</v>
      </c>
      <c r="R84" s="20">
        <v>5</v>
      </c>
      <c r="S84" s="20">
        <v>0</v>
      </c>
      <c r="T84" s="20">
        <v>1</v>
      </c>
      <c r="U84" s="20">
        <v>13</v>
      </c>
      <c r="V84" s="20">
        <v>5</v>
      </c>
      <c r="W84" s="20">
        <v>0</v>
      </c>
      <c r="X84" s="20">
        <v>2</v>
      </c>
      <c r="Y84" s="20">
        <v>12</v>
      </c>
      <c r="Z84" s="20">
        <v>5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22</v>
      </c>
      <c r="F85" s="19">
        <f>T_DOC2[[#This Row],[TOTAL_DOCENTES]]-T_DOC2[[#This Row],[DOCENTES_MONITOREADOS]]</f>
      </c>
      <c r="G85" s="20">
        <v>0</v>
      </c>
      <c r="H85" s="20">
        <v>3</v>
      </c>
      <c r="I85" s="20">
        <v>12</v>
      </c>
      <c r="J85" s="20">
        <v>7</v>
      </c>
      <c r="K85" s="20">
        <v>0</v>
      </c>
      <c r="L85" s="20">
        <v>4</v>
      </c>
      <c r="M85" s="20">
        <v>11</v>
      </c>
      <c r="N85" s="20">
        <v>7</v>
      </c>
      <c r="O85" s="20">
        <v>0</v>
      </c>
      <c r="P85" s="20">
        <v>3</v>
      </c>
      <c r="Q85" s="20">
        <v>12</v>
      </c>
      <c r="R85" s="20">
        <v>7</v>
      </c>
      <c r="S85" s="20">
        <v>0</v>
      </c>
      <c r="T85" s="20">
        <v>2</v>
      </c>
      <c r="U85" s="20">
        <v>13</v>
      </c>
      <c r="V85" s="20">
        <v>7</v>
      </c>
      <c r="W85" s="20">
        <v>0</v>
      </c>
      <c r="X85" s="20">
        <v>3</v>
      </c>
      <c r="Y85" s="20">
        <v>12</v>
      </c>
      <c r="Z85" s="20">
        <v>7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9</v>
      </c>
      <c r="F86" s="19">
        <f>T_DOC2[[#This Row],[TOTAL_DOCENTES]]-T_DOC2[[#This Row],[DOCENTES_MONITOREADOS]]</f>
      </c>
      <c r="G86" s="20">
        <v>0</v>
      </c>
      <c r="H86" s="20">
        <v>1</v>
      </c>
      <c r="I86" s="20">
        <v>5</v>
      </c>
      <c r="J86" s="20">
        <v>3</v>
      </c>
      <c r="K86" s="20">
        <v>0</v>
      </c>
      <c r="L86" s="20">
        <v>2</v>
      </c>
      <c r="M86" s="20">
        <v>4</v>
      </c>
      <c r="N86" s="20">
        <v>3</v>
      </c>
      <c r="O86" s="20">
        <v>0</v>
      </c>
      <c r="P86" s="20">
        <v>1</v>
      </c>
      <c r="Q86" s="20">
        <v>5</v>
      </c>
      <c r="R86" s="20">
        <v>3</v>
      </c>
      <c r="S86" s="20">
        <v>0</v>
      </c>
      <c r="T86" s="20">
        <v>1</v>
      </c>
      <c r="U86" s="20">
        <v>5</v>
      </c>
      <c r="V86" s="20">
        <v>3</v>
      </c>
      <c r="W86" s="20">
        <v>0</v>
      </c>
      <c r="X86" s="20">
        <v>1</v>
      </c>
      <c r="Y86" s="20">
        <v>5</v>
      </c>
      <c r="Z86" s="20">
        <v>3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19</v>
      </c>
      <c r="F87" s="19">
        <f>T_DOC2[[#This Row],[TOTAL_DOCENTES]]-T_DOC2[[#This Row],[DOCENTES_MONITOREADOS]]</f>
      </c>
      <c r="G87" s="20">
        <v>0</v>
      </c>
      <c r="H87" s="20">
        <v>2</v>
      </c>
      <c r="I87" s="20">
        <v>12</v>
      </c>
      <c r="J87" s="20">
        <v>5</v>
      </c>
      <c r="K87" s="20">
        <v>0</v>
      </c>
      <c r="L87" s="20">
        <v>3</v>
      </c>
      <c r="M87" s="20">
        <v>11</v>
      </c>
      <c r="N87" s="20">
        <v>5</v>
      </c>
      <c r="O87" s="20">
        <v>0</v>
      </c>
      <c r="P87" s="20">
        <v>2</v>
      </c>
      <c r="Q87" s="20">
        <v>12</v>
      </c>
      <c r="R87" s="20">
        <v>5</v>
      </c>
      <c r="S87" s="20">
        <v>0</v>
      </c>
      <c r="T87" s="20">
        <v>1</v>
      </c>
      <c r="U87" s="20">
        <v>13</v>
      </c>
      <c r="V87" s="20">
        <v>5</v>
      </c>
      <c r="W87" s="20">
        <v>0</v>
      </c>
      <c r="X87" s="20">
        <v>2</v>
      </c>
      <c r="Y87" s="20">
        <v>12</v>
      </c>
      <c r="Z87" s="20">
        <v>5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22</v>
      </c>
      <c r="F88" s="19">
        <f>T_DOC2[[#This Row],[TOTAL_DOCENTES]]-T_DOC2[[#This Row],[DOCENTES_MONITOREADOS]]</f>
      </c>
      <c r="G88" s="20">
        <v>0</v>
      </c>
      <c r="H88" s="20">
        <v>3</v>
      </c>
      <c r="I88" s="20">
        <v>12</v>
      </c>
      <c r="J88" s="20">
        <v>7</v>
      </c>
      <c r="K88" s="20">
        <v>0</v>
      </c>
      <c r="L88" s="20">
        <v>4</v>
      </c>
      <c r="M88" s="20">
        <v>11</v>
      </c>
      <c r="N88" s="20">
        <v>7</v>
      </c>
      <c r="O88" s="20">
        <v>0</v>
      </c>
      <c r="P88" s="20">
        <v>3</v>
      </c>
      <c r="Q88" s="20">
        <v>12</v>
      </c>
      <c r="R88" s="20">
        <v>7</v>
      </c>
      <c r="S88" s="20">
        <v>0</v>
      </c>
      <c r="T88" s="20">
        <v>2</v>
      </c>
      <c r="U88" s="20">
        <v>13</v>
      </c>
      <c r="V88" s="20">
        <v>7</v>
      </c>
      <c r="W88" s="20">
        <v>0</v>
      </c>
      <c r="X88" s="20">
        <v>3</v>
      </c>
      <c r="Y88" s="20">
        <v>12</v>
      </c>
      <c r="Z88" s="20">
        <v>7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9</v>
      </c>
      <c r="F89" s="19">
        <f>T_DOC2[[#This Row],[TOTAL_DOCENTES]]-T_DOC2[[#This Row],[DOCENTES_MONITOREADOS]]</f>
      </c>
      <c r="G89" s="20">
        <v>0</v>
      </c>
      <c r="H89" s="20">
        <v>1</v>
      </c>
      <c r="I89" s="20">
        <v>5</v>
      </c>
      <c r="J89" s="20">
        <v>3</v>
      </c>
      <c r="K89" s="20">
        <v>0</v>
      </c>
      <c r="L89" s="20">
        <v>2</v>
      </c>
      <c r="M89" s="20">
        <v>4</v>
      </c>
      <c r="N89" s="20">
        <v>3</v>
      </c>
      <c r="O89" s="20">
        <v>0</v>
      </c>
      <c r="P89" s="20">
        <v>1</v>
      </c>
      <c r="Q89" s="20">
        <v>5</v>
      </c>
      <c r="R89" s="20">
        <v>3</v>
      </c>
      <c r="S89" s="20">
        <v>0</v>
      </c>
      <c r="T89" s="20">
        <v>1</v>
      </c>
      <c r="U89" s="20">
        <v>5</v>
      </c>
      <c r="V89" s="20">
        <v>3</v>
      </c>
      <c r="W89" s="20">
        <v>0</v>
      </c>
      <c r="X89" s="20">
        <v>1</v>
      </c>
      <c r="Y89" s="20">
        <v>5</v>
      </c>
      <c r="Z89" s="20">
        <v>3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19</v>
      </c>
      <c r="F90" s="19">
        <f>T_DOC2[[#This Row],[TOTAL_DOCENTES]]-T_DOC2[[#This Row],[DOCENTES_MONITOREADOS]]</f>
      </c>
      <c r="G90" s="20">
        <v>0</v>
      </c>
      <c r="H90" s="20">
        <v>2</v>
      </c>
      <c r="I90" s="20">
        <v>12</v>
      </c>
      <c r="J90" s="20">
        <v>5</v>
      </c>
      <c r="K90" s="20">
        <v>0</v>
      </c>
      <c r="L90" s="20">
        <v>3</v>
      </c>
      <c r="M90" s="20">
        <v>11</v>
      </c>
      <c r="N90" s="20">
        <v>5</v>
      </c>
      <c r="O90" s="20">
        <v>0</v>
      </c>
      <c r="P90" s="20">
        <v>2</v>
      </c>
      <c r="Q90" s="20">
        <v>12</v>
      </c>
      <c r="R90" s="20">
        <v>5</v>
      </c>
      <c r="S90" s="20">
        <v>0</v>
      </c>
      <c r="T90" s="20">
        <v>1</v>
      </c>
      <c r="U90" s="20">
        <v>13</v>
      </c>
      <c r="V90" s="20">
        <v>5</v>
      </c>
      <c r="W90" s="20">
        <v>0</v>
      </c>
      <c r="X90" s="20">
        <v>2</v>
      </c>
      <c r="Y90" s="20">
        <v>12</v>
      </c>
      <c r="Z90" s="20">
        <v>5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22</v>
      </c>
      <c r="F91" s="19">
        <f>T_DOC2[[#This Row],[TOTAL_DOCENTES]]-T_DOC2[[#This Row],[DOCENTES_MONITOREADOS]]</f>
      </c>
      <c r="G91" s="20">
        <v>0</v>
      </c>
      <c r="H91" s="20">
        <v>3</v>
      </c>
      <c r="I91" s="20">
        <v>12</v>
      </c>
      <c r="J91" s="20">
        <v>7</v>
      </c>
      <c r="K91" s="20">
        <v>0</v>
      </c>
      <c r="L91" s="20">
        <v>4</v>
      </c>
      <c r="M91" s="20">
        <v>11</v>
      </c>
      <c r="N91" s="20">
        <v>7</v>
      </c>
      <c r="O91" s="20">
        <v>0</v>
      </c>
      <c r="P91" s="20">
        <v>3</v>
      </c>
      <c r="Q91" s="20">
        <v>12</v>
      </c>
      <c r="R91" s="20">
        <v>7</v>
      </c>
      <c r="S91" s="20">
        <v>0</v>
      </c>
      <c r="T91" s="20">
        <v>2</v>
      </c>
      <c r="U91" s="20">
        <v>13</v>
      </c>
      <c r="V91" s="20">
        <v>7</v>
      </c>
      <c r="W91" s="20">
        <v>0</v>
      </c>
      <c r="X91" s="20">
        <v>3</v>
      </c>
      <c r="Y91" s="20">
        <v>12</v>
      </c>
      <c r="Z91" s="20">
        <v>7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9</v>
      </c>
      <c r="F92" s="19">
        <f>T_DOC2[[#This Row],[TOTAL_DOCENTES]]-T_DOC2[[#This Row],[DOCENTES_MONITOREADOS]]</f>
      </c>
      <c r="G92" s="20">
        <v>0</v>
      </c>
      <c r="H92" s="20">
        <v>1</v>
      </c>
      <c r="I92" s="20">
        <v>5</v>
      </c>
      <c r="J92" s="20">
        <v>3</v>
      </c>
      <c r="K92" s="20">
        <v>0</v>
      </c>
      <c r="L92" s="20">
        <v>2</v>
      </c>
      <c r="M92" s="20">
        <v>4</v>
      </c>
      <c r="N92" s="20">
        <v>3</v>
      </c>
      <c r="O92" s="20">
        <v>0</v>
      </c>
      <c r="P92" s="20">
        <v>1</v>
      </c>
      <c r="Q92" s="20">
        <v>5</v>
      </c>
      <c r="R92" s="20">
        <v>3</v>
      </c>
      <c r="S92" s="20">
        <v>0</v>
      </c>
      <c r="T92" s="20">
        <v>1</v>
      </c>
      <c r="U92" s="20">
        <v>5</v>
      </c>
      <c r="V92" s="20">
        <v>3</v>
      </c>
      <c r="W92" s="20">
        <v>0</v>
      </c>
      <c r="X92" s="20">
        <v>1</v>
      </c>
      <c r="Y92" s="20">
        <v>5</v>
      </c>
      <c r="Z92" s="20">
        <v>3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19</v>
      </c>
      <c r="F93" s="19">
        <f>T_DOC2[[#This Row],[TOTAL_DOCENTES]]-T_DOC2[[#This Row],[DOCENTES_MONITOREADOS]]</f>
      </c>
      <c r="G93" s="20">
        <v>0</v>
      </c>
      <c r="H93" s="20">
        <v>2</v>
      </c>
      <c r="I93" s="20">
        <v>12</v>
      </c>
      <c r="J93" s="20">
        <v>5</v>
      </c>
      <c r="K93" s="20">
        <v>0</v>
      </c>
      <c r="L93" s="20">
        <v>3</v>
      </c>
      <c r="M93" s="20">
        <v>11</v>
      </c>
      <c r="N93" s="20">
        <v>5</v>
      </c>
      <c r="O93" s="20">
        <v>0</v>
      </c>
      <c r="P93" s="20">
        <v>2</v>
      </c>
      <c r="Q93" s="20">
        <v>12</v>
      </c>
      <c r="R93" s="20">
        <v>5</v>
      </c>
      <c r="S93" s="20">
        <v>0</v>
      </c>
      <c r="T93" s="20">
        <v>1</v>
      </c>
      <c r="U93" s="20">
        <v>13</v>
      </c>
      <c r="V93" s="20">
        <v>5</v>
      </c>
      <c r="W93" s="20">
        <v>0</v>
      </c>
      <c r="X93" s="20">
        <v>2</v>
      </c>
      <c r="Y93" s="20">
        <v>12</v>
      </c>
      <c r="Z93" s="20">
        <v>5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22</v>
      </c>
      <c r="F94" s="19">
        <f>T_DOC2[[#This Row],[TOTAL_DOCENTES]]-T_DOC2[[#This Row],[DOCENTES_MONITOREADOS]]</f>
      </c>
      <c r="G94" s="20">
        <v>0</v>
      </c>
      <c r="H94" s="20">
        <v>3</v>
      </c>
      <c r="I94" s="20">
        <v>12</v>
      </c>
      <c r="J94" s="20">
        <v>7</v>
      </c>
      <c r="K94" s="20">
        <v>0</v>
      </c>
      <c r="L94" s="20">
        <v>4</v>
      </c>
      <c r="M94" s="20">
        <v>11</v>
      </c>
      <c r="N94" s="20">
        <v>7</v>
      </c>
      <c r="O94" s="20">
        <v>0</v>
      </c>
      <c r="P94" s="20">
        <v>3</v>
      </c>
      <c r="Q94" s="20">
        <v>12</v>
      </c>
      <c r="R94" s="20">
        <v>7</v>
      </c>
      <c r="S94" s="20">
        <v>0</v>
      </c>
      <c r="T94" s="20">
        <v>2</v>
      </c>
      <c r="U94" s="20">
        <v>13</v>
      </c>
      <c r="V94" s="20">
        <v>7</v>
      </c>
      <c r="W94" s="20">
        <v>0</v>
      </c>
      <c r="X94" s="20">
        <v>3</v>
      </c>
      <c r="Y94" s="20">
        <v>12</v>
      </c>
      <c r="Z94" s="20">
        <v>7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9</v>
      </c>
      <c r="F95" s="19">
        <f>T_DOC2[[#This Row],[TOTAL_DOCENTES]]-T_DOC2[[#This Row],[DOCENTES_MONITOREADOS]]</f>
      </c>
      <c r="G95" s="20">
        <v>0</v>
      </c>
      <c r="H95" s="20">
        <v>1</v>
      </c>
      <c r="I95" s="20">
        <v>5</v>
      </c>
      <c r="J95" s="20">
        <v>3</v>
      </c>
      <c r="K95" s="20">
        <v>0</v>
      </c>
      <c r="L95" s="20">
        <v>2</v>
      </c>
      <c r="M95" s="20">
        <v>4</v>
      </c>
      <c r="N95" s="20">
        <v>3</v>
      </c>
      <c r="O95" s="20">
        <v>0</v>
      </c>
      <c r="P95" s="20">
        <v>1</v>
      </c>
      <c r="Q95" s="20">
        <v>5</v>
      </c>
      <c r="R95" s="20">
        <v>3</v>
      </c>
      <c r="S95" s="20">
        <v>0</v>
      </c>
      <c r="T95" s="20">
        <v>1</v>
      </c>
      <c r="U95" s="20">
        <v>5</v>
      </c>
      <c r="V95" s="20">
        <v>3</v>
      </c>
      <c r="W95" s="20">
        <v>0</v>
      </c>
      <c r="X95" s="20">
        <v>1</v>
      </c>
      <c r="Y95" s="20">
        <v>5</v>
      </c>
      <c r="Z95" s="20">
        <v>3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19</v>
      </c>
      <c r="F96" s="19">
        <f>T_DOC2[[#This Row],[TOTAL_DOCENTES]]-T_DOC2[[#This Row],[DOCENTES_MONITOREADOS]]</f>
      </c>
      <c r="G96" s="20">
        <v>0</v>
      </c>
      <c r="H96" s="20">
        <v>2</v>
      </c>
      <c r="I96" s="20">
        <v>12</v>
      </c>
      <c r="J96" s="20">
        <v>5</v>
      </c>
      <c r="K96" s="20">
        <v>0</v>
      </c>
      <c r="L96" s="20">
        <v>3</v>
      </c>
      <c r="M96" s="20">
        <v>11</v>
      </c>
      <c r="N96" s="20">
        <v>5</v>
      </c>
      <c r="O96" s="20">
        <v>0</v>
      </c>
      <c r="P96" s="20">
        <v>2</v>
      </c>
      <c r="Q96" s="20">
        <v>12</v>
      </c>
      <c r="R96" s="20">
        <v>5</v>
      </c>
      <c r="S96" s="20">
        <v>0</v>
      </c>
      <c r="T96" s="20">
        <v>1</v>
      </c>
      <c r="U96" s="20">
        <v>13</v>
      </c>
      <c r="V96" s="20">
        <v>5</v>
      </c>
      <c r="W96" s="20">
        <v>0</v>
      </c>
      <c r="X96" s="20">
        <v>2</v>
      </c>
      <c r="Y96" s="20">
        <v>12</v>
      </c>
      <c r="Z96" s="20">
        <v>5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22</v>
      </c>
      <c r="F97" s="19">
        <f>T_DOC2[[#This Row],[TOTAL_DOCENTES]]-T_DOC2[[#This Row],[DOCENTES_MONITOREADOS]]</f>
      </c>
      <c r="G97" s="20">
        <v>0</v>
      </c>
      <c r="H97" s="20">
        <v>3</v>
      </c>
      <c r="I97" s="20">
        <v>12</v>
      </c>
      <c r="J97" s="20">
        <v>7</v>
      </c>
      <c r="K97" s="20">
        <v>0</v>
      </c>
      <c r="L97" s="20">
        <v>4</v>
      </c>
      <c r="M97" s="20">
        <v>11</v>
      </c>
      <c r="N97" s="20">
        <v>7</v>
      </c>
      <c r="O97" s="20">
        <v>0</v>
      </c>
      <c r="P97" s="20">
        <v>3</v>
      </c>
      <c r="Q97" s="20">
        <v>12</v>
      </c>
      <c r="R97" s="20">
        <v>7</v>
      </c>
      <c r="S97" s="20">
        <v>0</v>
      </c>
      <c r="T97" s="20">
        <v>2</v>
      </c>
      <c r="U97" s="20">
        <v>13</v>
      </c>
      <c r="V97" s="20">
        <v>7</v>
      </c>
      <c r="W97" s="20">
        <v>0</v>
      </c>
      <c r="X97" s="20">
        <v>3</v>
      </c>
      <c r="Y97" s="20">
        <v>12</v>
      </c>
      <c r="Z97" s="20">
        <v>7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9</v>
      </c>
      <c r="F98" s="19">
        <f>T_DOC2[[#This Row],[TOTAL_DOCENTES]]-T_DOC2[[#This Row],[DOCENTES_MONITOREADOS]]</f>
      </c>
      <c r="G98" s="20">
        <v>0</v>
      </c>
      <c r="H98" s="20">
        <v>1</v>
      </c>
      <c r="I98" s="20">
        <v>5</v>
      </c>
      <c r="J98" s="20">
        <v>3</v>
      </c>
      <c r="K98" s="20">
        <v>0</v>
      </c>
      <c r="L98" s="20">
        <v>2</v>
      </c>
      <c r="M98" s="20">
        <v>4</v>
      </c>
      <c r="N98" s="20">
        <v>3</v>
      </c>
      <c r="O98" s="20">
        <v>0</v>
      </c>
      <c r="P98" s="20">
        <v>1</v>
      </c>
      <c r="Q98" s="20">
        <v>5</v>
      </c>
      <c r="R98" s="20">
        <v>3</v>
      </c>
      <c r="S98" s="20">
        <v>0</v>
      </c>
      <c r="T98" s="20">
        <v>1</v>
      </c>
      <c r="U98" s="20">
        <v>5</v>
      </c>
      <c r="V98" s="20">
        <v>3</v>
      </c>
      <c r="W98" s="20">
        <v>0</v>
      </c>
      <c r="X98" s="20">
        <v>1</v>
      </c>
      <c r="Y98" s="20">
        <v>5</v>
      </c>
      <c r="Z98" s="20">
        <v>3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19</v>
      </c>
      <c r="F99" s="19">
        <f>T_DOC2[[#This Row],[TOTAL_DOCENTES]]-T_DOC2[[#This Row],[DOCENTES_MONITOREADOS]]</f>
      </c>
      <c r="G99" s="20">
        <v>0</v>
      </c>
      <c r="H99" s="20">
        <v>2</v>
      </c>
      <c r="I99" s="20">
        <v>12</v>
      </c>
      <c r="J99" s="20">
        <v>5</v>
      </c>
      <c r="K99" s="20">
        <v>0</v>
      </c>
      <c r="L99" s="20">
        <v>3</v>
      </c>
      <c r="M99" s="20">
        <v>11</v>
      </c>
      <c r="N99" s="20">
        <v>5</v>
      </c>
      <c r="O99" s="20">
        <v>0</v>
      </c>
      <c r="P99" s="20">
        <v>2</v>
      </c>
      <c r="Q99" s="20">
        <v>12</v>
      </c>
      <c r="R99" s="20">
        <v>5</v>
      </c>
      <c r="S99" s="20">
        <v>0</v>
      </c>
      <c r="T99" s="20">
        <v>1</v>
      </c>
      <c r="U99" s="20">
        <v>13</v>
      </c>
      <c r="V99" s="20">
        <v>5</v>
      </c>
      <c r="W99" s="20">
        <v>0</v>
      </c>
      <c r="X99" s="20">
        <v>2</v>
      </c>
      <c r="Y99" s="20">
        <v>12</v>
      </c>
      <c r="Z99" s="20">
        <v>5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22</v>
      </c>
      <c r="F100" s="19">
        <f>T_DOC2[[#This Row],[TOTAL_DOCENTES]]-T_DOC2[[#This Row],[DOCENTES_MONITOREADOS]]</f>
      </c>
      <c r="G100" s="20">
        <v>0</v>
      </c>
      <c r="H100" s="20">
        <v>3</v>
      </c>
      <c r="I100" s="20">
        <v>12</v>
      </c>
      <c r="J100" s="20">
        <v>7</v>
      </c>
      <c r="K100" s="20">
        <v>0</v>
      </c>
      <c r="L100" s="20">
        <v>4</v>
      </c>
      <c r="M100" s="20">
        <v>11</v>
      </c>
      <c r="N100" s="20">
        <v>7</v>
      </c>
      <c r="O100" s="20">
        <v>0</v>
      </c>
      <c r="P100" s="20">
        <v>3</v>
      </c>
      <c r="Q100" s="20">
        <v>12</v>
      </c>
      <c r="R100" s="20">
        <v>7</v>
      </c>
      <c r="S100" s="20">
        <v>0</v>
      </c>
      <c r="T100" s="20">
        <v>2</v>
      </c>
      <c r="U100" s="20">
        <v>13</v>
      </c>
      <c r="V100" s="20">
        <v>7</v>
      </c>
      <c r="W100" s="20">
        <v>0</v>
      </c>
      <c r="X100" s="20">
        <v>3</v>
      </c>
      <c r="Y100" s="20">
        <v>12</v>
      </c>
      <c r="Z100" s="20">
        <v>7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9</v>
      </c>
      <c r="F101" s="19">
        <f>T_DOC2[[#This Row],[TOTAL_DOCENTES]]-T_DOC2[[#This Row],[DOCENTES_MONITOREADOS]]</f>
      </c>
      <c r="G101" s="20">
        <v>0</v>
      </c>
      <c r="H101" s="20">
        <v>1</v>
      </c>
      <c r="I101" s="20">
        <v>5</v>
      </c>
      <c r="J101" s="20">
        <v>3</v>
      </c>
      <c r="K101" s="20">
        <v>0</v>
      </c>
      <c r="L101" s="20">
        <v>2</v>
      </c>
      <c r="M101" s="20">
        <v>4</v>
      </c>
      <c r="N101" s="20">
        <v>3</v>
      </c>
      <c r="O101" s="20">
        <v>0</v>
      </c>
      <c r="P101" s="20">
        <v>1</v>
      </c>
      <c r="Q101" s="20">
        <v>5</v>
      </c>
      <c r="R101" s="20">
        <v>3</v>
      </c>
      <c r="S101" s="20">
        <v>0</v>
      </c>
      <c r="T101" s="20">
        <v>1</v>
      </c>
      <c r="U101" s="20">
        <v>5</v>
      </c>
      <c r="V101" s="20">
        <v>3</v>
      </c>
      <c r="W101" s="20">
        <v>0</v>
      </c>
      <c r="X101" s="20">
        <v>1</v>
      </c>
      <c r="Y101" s="20">
        <v>5</v>
      </c>
      <c r="Z101" s="20">
        <v>3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19</v>
      </c>
      <c r="F102" s="19">
        <f>T_DOC2[[#This Row],[TOTAL_DOCENTES]]-T_DOC2[[#This Row],[DOCENTES_MONITOREADOS]]</f>
      </c>
      <c r="G102" s="20">
        <v>0</v>
      </c>
      <c r="H102" s="20">
        <v>2</v>
      </c>
      <c r="I102" s="20">
        <v>12</v>
      </c>
      <c r="J102" s="20">
        <v>5</v>
      </c>
      <c r="K102" s="20">
        <v>0</v>
      </c>
      <c r="L102" s="20">
        <v>3</v>
      </c>
      <c r="M102" s="20">
        <v>11</v>
      </c>
      <c r="N102" s="20">
        <v>5</v>
      </c>
      <c r="O102" s="20">
        <v>0</v>
      </c>
      <c r="P102" s="20">
        <v>2</v>
      </c>
      <c r="Q102" s="20">
        <v>12</v>
      </c>
      <c r="R102" s="20">
        <v>5</v>
      </c>
      <c r="S102" s="20">
        <v>0</v>
      </c>
      <c r="T102" s="20">
        <v>1</v>
      </c>
      <c r="U102" s="20">
        <v>13</v>
      </c>
      <c r="V102" s="20">
        <v>5</v>
      </c>
      <c r="W102" s="20">
        <v>0</v>
      </c>
      <c r="X102" s="20">
        <v>2</v>
      </c>
      <c r="Y102" s="20">
        <v>12</v>
      </c>
      <c r="Z102" s="20">
        <v>5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22</v>
      </c>
      <c r="F103" s="19">
        <f>T_DOC2[[#This Row],[TOTAL_DOCENTES]]-T_DOC2[[#This Row],[DOCENTES_MONITOREADOS]]</f>
      </c>
      <c r="G103" s="20">
        <v>0</v>
      </c>
      <c r="H103" s="20">
        <v>3</v>
      </c>
      <c r="I103" s="20">
        <v>12</v>
      </c>
      <c r="J103" s="20">
        <v>7</v>
      </c>
      <c r="K103" s="20">
        <v>0</v>
      </c>
      <c r="L103" s="20">
        <v>4</v>
      </c>
      <c r="M103" s="20">
        <v>11</v>
      </c>
      <c r="N103" s="20">
        <v>7</v>
      </c>
      <c r="O103" s="20">
        <v>0</v>
      </c>
      <c r="P103" s="20">
        <v>3</v>
      </c>
      <c r="Q103" s="20">
        <v>12</v>
      </c>
      <c r="R103" s="20">
        <v>7</v>
      </c>
      <c r="S103" s="20">
        <v>0</v>
      </c>
      <c r="T103" s="20">
        <v>2</v>
      </c>
      <c r="U103" s="20">
        <v>13</v>
      </c>
      <c r="V103" s="20">
        <v>7</v>
      </c>
      <c r="W103" s="20">
        <v>0</v>
      </c>
      <c r="X103" s="20">
        <v>3</v>
      </c>
      <c r="Y103" s="20">
        <v>12</v>
      </c>
      <c r="Z103" s="20">
        <v>7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9</v>
      </c>
      <c r="F104" s="19">
        <f>T_DOC2[[#This Row],[TOTAL_DOCENTES]]-T_DOC2[[#This Row],[DOCENTES_MONITOREADOS]]</f>
      </c>
      <c r="G104" s="20">
        <v>0</v>
      </c>
      <c r="H104" s="20">
        <v>1</v>
      </c>
      <c r="I104" s="20">
        <v>5</v>
      </c>
      <c r="J104" s="20">
        <v>3</v>
      </c>
      <c r="K104" s="20">
        <v>0</v>
      </c>
      <c r="L104" s="20">
        <v>2</v>
      </c>
      <c r="M104" s="20">
        <v>4</v>
      </c>
      <c r="N104" s="20">
        <v>3</v>
      </c>
      <c r="O104" s="20">
        <v>0</v>
      </c>
      <c r="P104" s="20">
        <v>1</v>
      </c>
      <c r="Q104" s="20">
        <v>5</v>
      </c>
      <c r="R104" s="20">
        <v>3</v>
      </c>
      <c r="S104" s="20">
        <v>0</v>
      </c>
      <c r="T104" s="20">
        <v>1</v>
      </c>
      <c r="U104" s="20">
        <v>5</v>
      </c>
      <c r="V104" s="20">
        <v>3</v>
      </c>
      <c r="W104" s="20">
        <v>0</v>
      </c>
      <c r="X104" s="20">
        <v>1</v>
      </c>
      <c r="Y104" s="20">
        <v>5</v>
      </c>
      <c r="Z104" s="20">
        <v>3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19</v>
      </c>
      <c r="F105" s="19">
        <f>T_DOC2[[#This Row],[TOTAL_DOCENTES]]-T_DOC2[[#This Row],[DOCENTES_MONITOREADOS]]</f>
      </c>
      <c r="G105" s="20">
        <v>0</v>
      </c>
      <c r="H105" s="20">
        <v>2</v>
      </c>
      <c r="I105" s="20">
        <v>12</v>
      </c>
      <c r="J105" s="20">
        <v>5</v>
      </c>
      <c r="K105" s="20">
        <v>0</v>
      </c>
      <c r="L105" s="20">
        <v>3</v>
      </c>
      <c r="M105" s="20">
        <v>11</v>
      </c>
      <c r="N105" s="20">
        <v>5</v>
      </c>
      <c r="O105" s="20">
        <v>0</v>
      </c>
      <c r="P105" s="20">
        <v>2</v>
      </c>
      <c r="Q105" s="20">
        <v>12</v>
      </c>
      <c r="R105" s="20">
        <v>5</v>
      </c>
      <c r="S105" s="20">
        <v>0</v>
      </c>
      <c r="T105" s="20">
        <v>1</v>
      </c>
      <c r="U105" s="20">
        <v>13</v>
      </c>
      <c r="V105" s="20">
        <v>5</v>
      </c>
      <c r="W105" s="20">
        <v>0</v>
      </c>
      <c r="X105" s="20">
        <v>2</v>
      </c>
      <c r="Y105" s="20">
        <v>12</v>
      </c>
      <c r="Z105" s="20">
        <v>5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22</v>
      </c>
      <c r="F106" s="19">
        <f>T_DOC2[[#This Row],[TOTAL_DOCENTES]]-T_DOC2[[#This Row],[DOCENTES_MONITOREADOS]]</f>
      </c>
      <c r="G106" s="20">
        <v>0</v>
      </c>
      <c r="H106" s="20">
        <v>3</v>
      </c>
      <c r="I106" s="20">
        <v>12</v>
      </c>
      <c r="J106" s="20">
        <v>7</v>
      </c>
      <c r="K106" s="20">
        <v>0</v>
      </c>
      <c r="L106" s="20">
        <v>4</v>
      </c>
      <c r="M106" s="20">
        <v>11</v>
      </c>
      <c r="N106" s="20">
        <v>7</v>
      </c>
      <c r="O106" s="20">
        <v>0</v>
      </c>
      <c r="P106" s="20">
        <v>3</v>
      </c>
      <c r="Q106" s="20">
        <v>12</v>
      </c>
      <c r="R106" s="20">
        <v>7</v>
      </c>
      <c r="S106" s="20">
        <v>0</v>
      </c>
      <c r="T106" s="20">
        <v>2</v>
      </c>
      <c r="U106" s="20">
        <v>13</v>
      </c>
      <c r="V106" s="20">
        <v>7</v>
      </c>
      <c r="W106" s="20">
        <v>0</v>
      </c>
      <c r="X106" s="20">
        <v>3</v>
      </c>
      <c r="Y106" s="20">
        <v>12</v>
      </c>
      <c r="Z106" s="20">
        <v>7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CAT_6.1</vt:lpstr>
      <vt:lpstr>CAT_6.2</vt:lpstr>
      <vt:lpstr>CAT_6.3</vt:lpstr>
      <vt:lpstr>CAT_6.4</vt:lpstr>
      <vt:lpstr>CAT_6.5</vt:lpstr>
      <vt:lpstr>DOCENTES_1ER_MOM</vt:lpstr>
      <vt:lpstr>DOCENTES_2DO_MOM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UGEL 03 - AGEBRE</dc:creator>
  <dc:title/>
  <dc:subject/>
  <dc:description/>
  <cp:keywords/>
  <cp:category/>
  <cp:lastModifiedBy>UGEL 03 - AGEBRE</cp:lastModifiedBy>
  <dcterms:created xsi:type="dcterms:W3CDTF">2026-10-01T04:10:45Z</dcterms:created>
  <dcterms:modified xsi:type="dcterms:W3CDTF">2026-10-01T04:10:45Z</dcterms:modified>
</cp:coreProperties>
</file>